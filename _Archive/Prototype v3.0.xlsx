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llew\OneDrive\Desktop\Building\"/>
    </mc:Choice>
  </mc:AlternateContent>
  <xr:revisionPtr revIDLastSave="0" documentId="13_ncr:1_{C8E9C587-856E-4CE6-ADA8-91730F4046B9}" xr6:coauthVersionLast="47" xr6:coauthVersionMax="47" xr10:uidLastSave="{00000000-0000-0000-0000-000000000000}"/>
  <bookViews>
    <workbookView xWindow="28680" yWindow="-120" windowWidth="29040" windowHeight="15720" tabRatio="855" firstSheet="1" activeTab="1" xr2:uid="{00000000-000D-0000-FFFF-FFFF00000000}"/>
  </bookViews>
  <sheets>
    <sheet name="Business and Consumer Services" sheetId="18" r:id="rId1"/>
    <sheet name="Building Materials Industry" sheetId="16" r:id="rId2"/>
    <sheet name="Table 3 (2)" sheetId="15" state="hidden" r:id="rId3"/>
    <sheet name="Table 3" sheetId="3" state="hidden" r:id="rId4"/>
  </sheets>
  <definedNames>
    <definedName name="Amortization_of_intangibles">'Building Materials Industry'!$C$49</definedName>
    <definedName name="Assets">'Building Materials Industry'!$C$26</definedName>
    <definedName name="AssetsY0">'Building Materials Industry'!$D$26</definedName>
    <definedName name="Cash_and_Cash_Equivalents_per_the_Balance_Sheet">'Building Materials Industry'!$C$43</definedName>
    <definedName name="Cash_Flow_From_Operations__CFO">'Building Materials Industry'!$C$58</definedName>
    <definedName name="Cash_like_current_financial_assets_per_the_Balance_Sheet">'Building Materials Industry'!$C$44</definedName>
    <definedName name="Common_Dividends_per_the_Consolidated_Statement_of_Cash_Flow">'Building Materials Industry'!$C$70</definedName>
    <definedName name="Current_Portion_of_Long_term_Debt">'Building Materials Industry'!$C$31</definedName>
    <definedName name="Customer_pricing">'Building Materials Industry'!$C$8</definedName>
    <definedName name="Debt_Book_Capitalization">'Building Materials Industry'!$C$83</definedName>
    <definedName name="Debt_EBITDA">'Building Materials Industry'!$C$84</definedName>
    <definedName name="Depreciation">'Building Materials Industry'!$C$48</definedName>
    <definedName name="EBIT">'Building Materials Industry'!$C$14</definedName>
    <definedName name="EBIT_Avg._Assets">'Building Materials Industry'!$C$82</definedName>
    <definedName name="EBIT_Interest">'Building Materials Industry'!$C$85</definedName>
    <definedName name="Gross_interest">'Building Materials Industry'!$C$12</definedName>
    <definedName name="Liability_for_Capital_Leases__if_not_already_included_in_Debt">'Building Materials Industry'!$C$33</definedName>
    <definedName name="Long_term_Debt__net_of_Current_Portion">'Building Materials Industry'!$C$32</definedName>
    <definedName name="Minority_Dividends_per_the_Consolidated_Statement_of_Cash_Flow">'Building Materials Industry'!$C$72</definedName>
    <definedName name="Minority_interest_per_the_Balance_Sheet">'Building Materials Industry'!$C$36</definedName>
    <definedName name="Model_CalculationArea">'Business and Consumer Services'!$B$6:$J$61</definedName>
    <definedName name="Non_Current_Deferred_Income_Taxes_per_the_Balance_Sheet">'Building Materials Industry'!$C$37</definedName>
    <definedName name="Operating_Margin">'Building Materials Industry'!$C$80</definedName>
    <definedName name="Operating_Margin_Volatility">'Building Materials Industry'!$C$81</definedName>
    <definedName name="Preferred_Dividends_per_the_Consolidated_Statement_of_Cash_Flow">'Building Materials Industry'!$C$71</definedName>
    <definedName name="RCF_Net_Debt">'Building Materials Industry'!$C$86</definedName>
    <definedName name="Revenue___USD_Billion">'Building Materials Industry'!$C$79</definedName>
    <definedName name="Revenue__Mn">'Building Materials Industry'!$C$10</definedName>
    <definedName name="Short_term_Debt">'Building Materials Industry'!$C$30</definedName>
    <definedName name="Tenor">'Building Materials Industry'!$C$6</definedName>
    <definedName name="Total_Equity_per_the_Balance_Sheet">'Building Materials Industry'!$C$35</definedName>
    <definedName name="Y0_Net_long_term_operating_assets_and_liabilities">'Building Materials Industry'!$C$64</definedName>
    <definedName name="Y0_Net_working_capital">'Building Materials Industry'!$C$61</definedName>
    <definedName name="Y1_Net_Net_operating_assets_and_liabilities">'Building Materials Industry'!$C$65</definedName>
    <definedName name="Y1_Net_working_capital">'Building Materials Industry'!$C$62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6" i="16" l="1"/>
  <c r="C58" i="18"/>
  <c r="F55" i="18"/>
  <c r="F56" i="18"/>
  <c r="F57" i="18"/>
  <c r="F58" i="18"/>
  <c r="F54" i="18"/>
  <c r="C43" i="18"/>
  <c r="C40" i="18"/>
  <c r="C44" i="18" s="1"/>
  <c r="C67" i="16"/>
  <c r="C63" i="16"/>
  <c r="C32" i="18"/>
  <c r="C31" i="18"/>
  <c r="G87" i="16"/>
  <c r="G80" i="16"/>
  <c r="G81" i="16"/>
  <c r="G82" i="16"/>
  <c r="G83" i="16"/>
  <c r="G84" i="16"/>
  <c r="G85" i="16"/>
  <c r="G86" i="16"/>
  <c r="G79" i="16"/>
  <c r="F89" i="16"/>
  <c r="F88" i="16"/>
  <c r="C73" i="16"/>
  <c r="C81" i="16"/>
  <c r="C60" i="16"/>
  <c r="C66" i="16"/>
  <c r="C42" i="16"/>
  <c r="C38" i="16"/>
  <c r="E59" i="18" l="1"/>
  <c r="C93" i="16"/>
  <c r="C15" i="16"/>
  <c r="D25" i="16"/>
  <c r="C47" i="16"/>
  <c r="D128" i="16"/>
  <c r="D101" i="16"/>
  <c r="C79" i="16"/>
  <c r="C24" i="16"/>
  <c r="D24" i="16"/>
  <c r="B25" i="16"/>
  <c r="C21" i="16"/>
  <c r="D21" i="16"/>
  <c r="E21" i="16"/>
  <c r="F21" i="16"/>
  <c r="B21" i="16"/>
  <c r="G19" i="16"/>
  <c r="B15" i="16"/>
  <c r="B20" i="16" s="1"/>
  <c r="J132" i="16"/>
  <c r="I132" i="16"/>
  <c r="H132" i="16"/>
  <c r="G132" i="16"/>
  <c r="F132" i="16"/>
  <c r="E132" i="16"/>
  <c r="D132" i="16"/>
  <c r="C132" i="16"/>
  <c r="J131" i="16"/>
  <c r="I131" i="16"/>
  <c r="H131" i="16"/>
  <c r="H103" i="16" s="1"/>
  <c r="G131" i="16"/>
  <c r="F131" i="16"/>
  <c r="E131" i="16"/>
  <c r="D131" i="16"/>
  <c r="C131" i="16"/>
  <c r="J130" i="16"/>
  <c r="J102" i="16" s="1"/>
  <c r="I130" i="16"/>
  <c r="H130" i="16"/>
  <c r="H102" i="16" s="1"/>
  <c r="G130" i="16"/>
  <c r="G102" i="16" s="1"/>
  <c r="F130" i="16"/>
  <c r="F102" i="16" s="1"/>
  <c r="E130" i="16"/>
  <c r="E102" i="16" s="1"/>
  <c r="D130" i="16"/>
  <c r="D102" i="16" s="1"/>
  <c r="C130" i="16"/>
  <c r="C102" i="16" s="1"/>
  <c r="J129" i="16"/>
  <c r="J101" i="16" s="1"/>
  <c r="I129" i="16"/>
  <c r="I101" i="16" s="1"/>
  <c r="H129" i="16"/>
  <c r="H101" i="16" s="1"/>
  <c r="G129" i="16"/>
  <c r="G101" i="16" s="1"/>
  <c r="F129" i="16"/>
  <c r="F101" i="16" s="1"/>
  <c r="E129" i="16"/>
  <c r="E101" i="16" s="1"/>
  <c r="D129" i="16"/>
  <c r="C129" i="16"/>
  <c r="C101" i="16" s="1"/>
  <c r="J128" i="16"/>
  <c r="I128" i="16"/>
  <c r="H128" i="16"/>
  <c r="G128" i="16"/>
  <c r="F128" i="16"/>
  <c r="E128" i="16"/>
  <c r="C128" i="16"/>
  <c r="J127" i="16"/>
  <c r="I127" i="16"/>
  <c r="H127" i="16"/>
  <c r="G127" i="16"/>
  <c r="F127" i="16"/>
  <c r="E127" i="16"/>
  <c r="D127" i="16"/>
  <c r="C127" i="16"/>
  <c r="J126" i="16"/>
  <c r="I126" i="16"/>
  <c r="H126" i="16"/>
  <c r="G126" i="16"/>
  <c r="F126" i="16"/>
  <c r="E126" i="16"/>
  <c r="D126" i="16"/>
  <c r="C126" i="16"/>
  <c r="J125" i="16"/>
  <c r="I125" i="16"/>
  <c r="I97" i="16" s="1"/>
  <c r="H125" i="16"/>
  <c r="G125" i="16"/>
  <c r="F125" i="16"/>
  <c r="E125" i="16"/>
  <c r="D125" i="16"/>
  <c r="C125" i="16"/>
  <c r="J123" i="16"/>
  <c r="I123" i="16"/>
  <c r="I104" i="16" s="1"/>
  <c r="H123" i="16"/>
  <c r="H104" i="16" s="1"/>
  <c r="G123" i="16"/>
  <c r="G104" i="16" s="1"/>
  <c r="F123" i="16"/>
  <c r="F104" i="16" s="1"/>
  <c r="E123" i="16"/>
  <c r="E104" i="16" s="1"/>
  <c r="D123" i="16"/>
  <c r="D104" i="16" s="1"/>
  <c r="C123" i="16"/>
  <c r="C104" i="16" s="1"/>
  <c r="J122" i="16"/>
  <c r="I122" i="16"/>
  <c r="I103" i="16" s="1"/>
  <c r="H122" i="16"/>
  <c r="G122" i="16"/>
  <c r="G103" i="16" s="1"/>
  <c r="F122" i="16"/>
  <c r="F103" i="16" s="1"/>
  <c r="E122" i="16"/>
  <c r="E103" i="16" s="1"/>
  <c r="D122" i="16"/>
  <c r="D103" i="16" s="1"/>
  <c r="C122" i="16"/>
  <c r="C103" i="16" s="1"/>
  <c r="J121" i="16"/>
  <c r="I121" i="16"/>
  <c r="I102" i="16" s="1"/>
  <c r="H121" i="16"/>
  <c r="G121" i="16"/>
  <c r="F121" i="16"/>
  <c r="E121" i="16"/>
  <c r="D121" i="16"/>
  <c r="C121" i="16"/>
  <c r="J120" i="16"/>
  <c r="I120" i="16"/>
  <c r="H120" i="16"/>
  <c r="G120" i="16"/>
  <c r="F120" i="16"/>
  <c r="E120" i="16"/>
  <c r="D120" i="16"/>
  <c r="C120" i="16"/>
  <c r="J119" i="16"/>
  <c r="I119" i="16"/>
  <c r="H119" i="16"/>
  <c r="G119" i="16"/>
  <c r="F119" i="16"/>
  <c r="E119" i="16"/>
  <c r="D119" i="16"/>
  <c r="C119" i="16"/>
  <c r="J118" i="16"/>
  <c r="I118" i="16"/>
  <c r="H118" i="16"/>
  <c r="G118" i="16"/>
  <c r="F118" i="16"/>
  <c r="E118" i="16"/>
  <c r="D118" i="16"/>
  <c r="C118" i="16"/>
  <c r="J117" i="16"/>
  <c r="I117" i="16"/>
  <c r="H117" i="16"/>
  <c r="G117" i="16"/>
  <c r="F117" i="16"/>
  <c r="E117" i="16"/>
  <c r="D117" i="16"/>
  <c r="C117" i="16"/>
  <c r="J116" i="16"/>
  <c r="I116" i="16"/>
  <c r="H116" i="16"/>
  <c r="G116" i="16"/>
  <c r="F116" i="16"/>
  <c r="E116" i="16"/>
  <c r="D116" i="16"/>
  <c r="C116" i="16"/>
  <c r="C81" i="18"/>
  <c r="D81" i="18"/>
  <c r="E81" i="18"/>
  <c r="F81" i="18"/>
  <c r="G81" i="18"/>
  <c r="H81" i="18"/>
  <c r="I81" i="18"/>
  <c r="J81" i="18"/>
  <c r="C82" i="18"/>
  <c r="D82" i="18"/>
  <c r="E82" i="18"/>
  <c r="F82" i="18"/>
  <c r="G82" i="18"/>
  <c r="H82" i="18"/>
  <c r="I82" i="18"/>
  <c r="J82" i="18"/>
  <c r="C83" i="18"/>
  <c r="D83" i="18"/>
  <c r="E83" i="18"/>
  <c r="F83" i="18"/>
  <c r="G83" i="18"/>
  <c r="H83" i="18"/>
  <c r="I83" i="18"/>
  <c r="J83" i="18"/>
  <c r="C84" i="18"/>
  <c r="D84" i="18"/>
  <c r="E84" i="18"/>
  <c r="F84" i="18"/>
  <c r="G84" i="18"/>
  <c r="H84" i="18"/>
  <c r="I84" i="18"/>
  <c r="J84" i="18"/>
  <c r="C85" i="18"/>
  <c r="D85" i="18"/>
  <c r="E85" i="18"/>
  <c r="F85" i="18"/>
  <c r="G85" i="18"/>
  <c r="H85" i="18"/>
  <c r="I85" i="18"/>
  <c r="J85" i="18"/>
  <c r="C87" i="18"/>
  <c r="C68" i="18" s="1"/>
  <c r="D87" i="18"/>
  <c r="D68" i="18" s="1"/>
  <c r="E87" i="18"/>
  <c r="F87" i="18"/>
  <c r="F68" i="18" s="1"/>
  <c r="G87" i="18"/>
  <c r="G68" i="18" s="1"/>
  <c r="H87" i="18"/>
  <c r="H68" i="18" s="1"/>
  <c r="I87" i="18"/>
  <c r="I68" i="18" s="1"/>
  <c r="J87" i="18"/>
  <c r="J68" i="18" s="1"/>
  <c r="C88" i="18"/>
  <c r="C69" i="18" s="1"/>
  <c r="D88" i="18"/>
  <c r="D69" i="18" s="1"/>
  <c r="E88" i="18"/>
  <c r="E69" i="18" s="1"/>
  <c r="F88" i="18"/>
  <c r="F69" i="18" s="1"/>
  <c r="G88" i="18"/>
  <c r="G69" i="18" s="1"/>
  <c r="H88" i="18"/>
  <c r="H69" i="18" s="1"/>
  <c r="I88" i="18"/>
  <c r="I69" i="18" s="1"/>
  <c r="J88" i="18"/>
  <c r="J69" i="18" s="1"/>
  <c r="C89" i="18"/>
  <c r="C70" i="18" s="1"/>
  <c r="D89" i="18"/>
  <c r="E89" i="18"/>
  <c r="E70" i="18" s="1"/>
  <c r="F89" i="18"/>
  <c r="F70" i="18" s="1"/>
  <c r="G89" i="18"/>
  <c r="G70" i="18" s="1"/>
  <c r="H89" i="18"/>
  <c r="H70" i="18" s="1"/>
  <c r="I89" i="18"/>
  <c r="I70" i="18" s="1"/>
  <c r="J89" i="18"/>
  <c r="J70" i="18" s="1"/>
  <c r="C90" i="18"/>
  <c r="C71" i="18" s="1"/>
  <c r="D90" i="18"/>
  <c r="D71" i="18" s="1"/>
  <c r="E90" i="18"/>
  <c r="E71" i="18" s="1"/>
  <c r="F90" i="18"/>
  <c r="F71" i="18" s="1"/>
  <c r="G90" i="18"/>
  <c r="G71" i="18" s="1"/>
  <c r="H90" i="18"/>
  <c r="H71" i="18" s="1"/>
  <c r="I90" i="18"/>
  <c r="I71" i="18" s="1"/>
  <c r="J90" i="18"/>
  <c r="J71" i="18" s="1"/>
  <c r="C91" i="18"/>
  <c r="C72" i="18" s="1"/>
  <c r="D91" i="18"/>
  <c r="D72" i="18" s="1"/>
  <c r="E91" i="18"/>
  <c r="E72" i="18" s="1"/>
  <c r="F91" i="18"/>
  <c r="F72" i="18" s="1"/>
  <c r="G91" i="18"/>
  <c r="G72" i="18" s="1"/>
  <c r="H91" i="18"/>
  <c r="H72" i="18" s="1"/>
  <c r="I91" i="18"/>
  <c r="I72" i="18" s="1"/>
  <c r="J91" i="18"/>
  <c r="J72" i="18" s="1"/>
  <c r="C92" i="18"/>
  <c r="D92" i="18"/>
  <c r="E92" i="18"/>
  <c r="F92" i="18"/>
  <c r="G92" i="18"/>
  <c r="H92" i="18"/>
  <c r="I92" i="18"/>
  <c r="J92" i="18"/>
  <c r="C64" i="18"/>
  <c r="B64" i="18"/>
  <c r="C54" i="18"/>
  <c r="Y47" i="18"/>
  <c r="Z47" i="18" s="1"/>
  <c r="AA47" i="18" s="1"/>
  <c r="AB47" i="18" s="1"/>
  <c r="AC47" i="18" s="1"/>
  <c r="AD47" i="18" s="1"/>
  <c r="AE47" i="18" s="1"/>
  <c r="AF47" i="18" s="1"/>
  <c r="Y46" i="18"/>
  <c r="Z46" i="18" s="1"/>
  <c r="AA46" i="18" s="1"/>
  <c r="AB46" i="18" s="1"/>
  <c r="AC46" i="18" s="1"/>
  <c r="AD46" i="18" s="1"/>
  <c r="AE46" i="18" s="1"/>
  <c r="AF46" i="18" s="1"/>
  <c r="Y45" i="18"/>
  <c r="Z45" i="18" s="1"/>
  <c r="AA45" i="18" s="1"/>
  <c r="AB45" i="18" s="1"/>
  <c r="AC45" i="18" s="1"/>
  <c r="AD45" i="18" s="1"/>
  <c r="AE45" i="18" s="1"/>
  <c r="AF45" i="18" s="1"/>
  <c r="Y44" i="18"/>
  <c r="Z44" i="18" s="1"/>
  <c r="AA44" i="18" s="1"/>
  <c r="AB44" i="18" s="1"/>
  <c r="AC44" i="18" s="1"/>
  <c r="AD44" i="18" s="1"/>
  <c r="AE44" i="18" s="1"/>
  <c r="AF44" i="18" s="1"/>
  <c r="Y43" i="18"/>
  <c r="AF40" i="18"/>
  <c r="AE40" i="18"/>
  <c r="AC40" i="18"/>
  <c r="AB40" i="18"/>
  <c r="Z40" i="18"/>
  <c r="S40" i="18"/>
  <c r="Q40" i="18"/>
  <c r="P40" i="18"/>
  <c r="C37" i="18"/>
  <c r="B37" i="18"/>
  <c r="C33" i="18"/>
  <c r="C55" i="18" s="1"/>
  <c r="C23" i="18"/>
  <c r="O20" i="18"/>
  <c r="O21" i="18" s="1"/>
  <c r="O22" i="18" s="1"/>
  <c r="O23" i="18" s="1"/>
  <c r="O24" i="18" s="1"/>
  <c r="O25" i="18" s="1"/>
  <c r="O26" i="18" s="1"/>
  <c r="O27" i="18" s="1"/>
  <c r="O28" i="18" s="1"/>
  <c r="O29" i="18" s="1"/>
  <c r="O30" i="18" s="1"/>
  <c r="O31" i="18" s="1"/>
  <c r="O32" i="18" s="1"/>
  <c r="O33" i="18" s="1"/>
  <c r="O34" i="18" s="1"/>
  <c r="O35" i="18" s="1"/>
  <c r="O36" i="18" s="1"/>
  <c r="C17" i="18"/>
  <c r="Y79" i="16"/>
  <c r="Y80" i="16"/>
  <c r="Y81" i="16"/>
  <c r="Y82" i="16"/>
  <c r="Y78" i="16"/>
  <c r="S75" i="16"/>
  <c r="Q75" i="16"/>
  <c r="P75" i="16"/>
  <c r="AF75" i="16"/>
  <c r="AE75" i="16"/>
  <c r="AB75" i="16"/>
  <c r="AC75" i="16"/>
  <c r="Z75" i="16"/>
  <c r="B93" i="16"/>
  <c r="B60" i="16"/>
  <c r="C34" i="16"/>
  <c r="O55" i="16"/>
  <c r="O56" i="16" s="1"/>
  <c r="O57" i="16" s="1"/>
  <c r="O58" i="16" s="1"/>
  <c r="O59" i="16" s="1"/>
  <c r="O60" i="16" s="1"/>
  <c r="O61" i="16" s="1"/>
  <c r="O62" i="16" s="1"/>
  <c r="O63" i="16" s="1"/>
  <c r="O64" i="16" s="1"/>
  <c r="O65" i="16" s="1"/>
  <c r="O66" i="16" s="1"/>
  <c r="O67" i="16" s="1"/>
  <c r="O68" i="16" s="1"/>
  <c r="O69" i="16" s="1"/>
  <c r="O70" i="16" s="1"/>
  <c r="O71" i="16" s="1"/>
  <c r="C50" i="3"/>
  <c r="C46" i="3"/>
  <c r="C37" i="3"/>
  <c r="C43" i="3"/>
  <c r="C40" i="3"/>
  <c r="B37" i="3"/>
  <c r="C33" i="3"/>
  <c r="C23" i="3"/>
  <c r="C26" i="3" s="1"/>
  <c r="C29" i="3" s="1"/>
  <c r="C17" i="3"/>
  <c r="B67" i="3"/>
  <c r="D14" i="15"/>
  <c r="F14" i="15" s="1"/>
  <c r="D20" i="15"/>
  <c r="F20" i="15" s="1"/>
  <c r="D19" i="15"/>
  <c r="F19" i="15" s="1"/>
  <c r="D18" i="15"/>
  <c r="F18" i="15" s="1"/>
  <c r="D17" i="15"/>
  <c r="F17" i="15" s="1"/>
  <c r="D16" i="15"/>
  <c r="F16" i="15" s="1"/>
  <c r="K7" i="15"/>
  <c r="K8" i="15" s="1"/>
  <c r="K9" i="15" s="1"/>
  <c r="K10" i="15" s="1"/>
  <c r="K11" i="15" s="1"/>
  <c r="K12" i="15" s="1"/>
  <c r="K13" i="15" s="1"/>
  <c r="K14" i="15" s="1"/>
  <c r="K15" i="15" s="1"/>
  <c r="K16" i="15" s="1"/>
  <c r="K17" i="15" s="1"/>
  <c r="K18" i="15" s="1"/>
  <c r="K19" i="15" s="1"/>
  <c r="K20" i="15" s="1"/>
  <c r="K21" i="15" s="1"/>
  <c r="K22" i="15" s="1"/>
  <c r="K23" i="15" s="1"/>
  <c r="D57" i="3"/>
  <c r="F57" i="3" s="1"/>
  <c r="D58" i="3"/>
  <c r="F58" i="3" s="1"/>
  <c r="D59" i="3"/>
  <c r="F59" i="3" s="1"/>
  <c r="D60" i="3"/>
  <c r="F60" i="3" s="1"/>
  <c r="D61" i="3"/>
  <c r="F61" i="3" s="1"/>
  <c r="D55" i="3"/>
  <c r="F55" i="3" s="1"/>
  <c r="K10" i="3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J103" i="16" l="1"/>
  <c r="D27" i="16"/>
  <c r="C82" i="16" s="1"/>
  <c r="D84" i="16" a="1"/>
  <c r="D84" i="16" s="1"/>
  <c r="F84" i="16" s="1"/>
  <c r="D70" i="18"/>
  <c r="E68" i="18"/>
  <c r="Z43" i="18"/>
  <c r="AA43" i="18" s="1"/>
  <c r="AB43" i="18" s="1"/>
  <c r="AC43" i="18" s="1"/>
  <c r="AD43" i="18" s="1"/>
  <c r="AE43" i="18" s="1"/>
  <c r="AF43" i="18" s="1"/>
  <c r="C85" i="16"/>
  <c r="D85" i="16" s="1" a="1"/>
  <c r="D85" i="16" s="1"/>
  <c r="F85" i="16" s="1"/>
  <c r="C50" i="16"/>
  <c r="C84" i="16" s="1"/>
  <c r="C39" i="16"/>
  <c r="C16" i="16"/>
  <c r="C80" i="16" s="1"/>
  <c r="G20" i="16"/>
  <c r="J104" i="16"/>
  <c r="F97" i="16"/>
  <c r="E97" i="16"/>
  <c r="D97" i="16"/>
  <c r="C97" i="16"/>
  <c r="J98" i="16"/>
  <c r="I98" i="16"/>
  <c r="H98" i="16"/>
  <c r="G98" i="16"/>
  <c r="F98" i="16"/>
  <c r="E98" i="16"/>
  <c r="D98" i="16"/>
  <c r="C98" i="16"/>
  <c r="J97" i="16"/>
  <c r="H97" i="16"/>
  <c r="G97" i="16"/>
  <c r="Z78" i="16"/>
  <c r="AA78" i="16" s="1"/>
  <c r="AB78" i="16" s="1"/>
  <c r="AC78" i="16" s="1"/>
  <c r="AD78" i="16" s="1"/>
  <c r="AE78" i="16" s="1"/>
  <c r="AF78" i="16" s="1"/>
  <c r="J100" i="16"/>
  <c r="I100" i="16"/>
  <c r="H100" i="16"/>
  <c r="G100" i="16"/>
  <c r="F100" i="16"/>
  <c r="E100" i="16"/>
  <c r="D100" i="16"/>
  <c r="D82" i="16" s="1" a="1"/>
  <c r="D82" i="16" s="1"/>
  <c r="C100" i="16"/>
  <c r="J99" i="16"/>
  <c r="I99" i="16"/>
  <c r="H99" i="16"/>
  <c r="G99" i="16"/>
  <c r="F99" i="16"/>
  <c r="E99" i="16"/>
  <c r="D99" i="16"/>
  <c r="C99" i="16"/>
  <c r="Z82" i="16"/>
  <c r="AA82" i="16" s="1"/>
  <c r="AB82" i="16" s="1"/>
  <c r="AC82" i="16" s="1"/>
  <c r="AD82" i="16" s="1"/>
  <c r="AE82" i="16" s="1"/>
  <c r="AF82" i="16" s="1"/>
  <c r="C46" i="18"/>
  <c r="C50" i="18" s="1"/>
  <c r="Z79" i="16"/>
  <c r="AA79" i="16" s="1"/>
  <c r="AB79" i="16" s="1"/>
  <c r="AC79" i="16" s="1"/>
  <c r="AD79" i="16" s="1"/>
  <c r="AE79" i="16" s="1"/>
  <c r="AF79" i="16" s="1"/>
  <c r="Z80" i="16"/>
  <c r="AA80" i="16" s="1"/>
  <c r="AB80" i="16" s="1"/>
  <c r="AC80" i="16" s="1"/>
  <c r="AD80" i="16" s="1"/>
  <c r="AE80" i="16" s="1"/>
  <c r="AF80" i="16" s="1"/>
  <c r="Z81" i="16"/>
  <c r="AA81" i="16" s="1"/>
  <c r="AB81" i="16" s="1"/>
  <c r="AC81" i="16" s="1"/>
  <c r="AD81" i="16" s="1"/>
  <c r="AE81" i="16" s="1"/>
  <c r="AF81" i="16" s="1"/>
  <c r="S79" i="16"/>
  <c r="R79" i="16" s="1"/>
  <c r="Q79" i="16" s="1"/>
  <c r="P79" i="16" s="1"/>
  <c r="O79" i="16" s="1"/>
  <c r="N79" i="16" s="1"/>
  <c r="S80" i="16"/>
  <c r="R80" i="16" s="1"/>
  <c r="Q80" i="16" s="1"/>
  <c r="P80" i="16" s="1"/>
  <c r="O80" i="16" s="1"/>
  <c r="N80" i="16" s="1"/>
  <c r="S81" i="16"/>
  <c r="R81" i="16" s="1"/>
  <c r="Q81" i="16" s="1"/>
  <c r="P81" i="16" s="1"/>
  <c r="O81" i="16" s="1"/>
  <c r="N81" i="16" s="1"/>
  <c r="S82" i="16"/>
  <c r="R82" i="16" s="1"/>
  <c r="Q82" i="16" s="1"/>
  <c r="P82" i="16" s="1"/>
  <c r="O82" i="16" s="1"/>
  <c r="N82" i="16" s="1"/>
  <c r="S78" i="16"/>
  <c r="R78" i="16" s="1"/>
  <c r="Q78" i="16" s="1"/>
  <c r="P78" i="16" s="1"/>
  <c r="O78" i="16" s="1"/>
  <c r="N78" i="16" s="1"/>
  <c r="S44" i="18"/>
  <c r="R44" i="18" s="1"/>
  <c r="Q44" i="18" s="1"/>
  <c r="P44" i="18" s="1"/>
  <c r="O44" i="18" s="1"/>
  <c r="N44" i="18" s="1"/>
  <c r="S47" i="18"/>
  <c r="R47" i="18" s="1"/>
  <c r="Q47" i="18" s="1"/>
  <c r="P47" i="18" s="1"/>
  <c r="O47" i="18" s="1"/>
  <c r="N47" i="18" s="1"/>
  <c r="S45" i="18"/>
  <c r="R45" i="18" s="1"/>
  <c r="Q45" i="18" s="1"/>
  <c r="P45" i="18" s="1"/>
  <c r="O45" i="18" s="1"/>
  <c r="N45" i="18" s="1"/>
  <c r="S43" i="18"/>
  <c r="R43" i="18" s="1"/>
  <c r="Q43" i="18" s="1"/>
  <c r="P43" i="18" s="1"/>
  <c r="O43" i="18" s="1"/>
  <c r="N43" i="18" s="1"/>
  <c r="S46" i="18"/>
  <c r="R46" i="18" s="1"/>
  <c r="Q46" i="18" s="1"/>
  <c r="P46" i="18" s="1"/>
  <c r="O46" i="18" s="1"/>
  <c r="N46" i="18" s="1"/>
  <c r="C57" i="18"/>
  <c r="C26" i="18"/>
  <c r="C29" i="18" s="1"/>
  <c r="C56" i="18"/>
  <c r="D56" i="3"/>
  <c r="F56" i="3" s="1"/>
  <c r="D15" i="15"/>
  <c r="F15" i="15" s="1"/>
  <c r="C69" i="16"/>
  <c r="C44" i="3"/>
  <c r="D54" i="3"/>
  <c r="F54" i="3" s="1"/>
  <c r="D13" i="15"/>
  <c r="F13" i="15" s="1"/>
  <c r="D80" i="16" l="1" a="1"/>
  <c r="D80" i="16" s="1"/>
  <c r="F80" i="16" s="1"/>
  <c r="D81" i="16" a="1"/>
  <c r="D81" i="16" s="1"/>
  <c r="F81" i="16" s="1"/>
  <c r="C40" i="16"/>
  <c r="C83" i="16" s="1"/>
  <c r="D83" i="16" s="1" a="1"/>
  <c r="D83" i="16" s="1"/>
  <c r="F83" i="16" s="1"/>
  <c r="C45" i="16"/>
  <c r="D86" i="16" s="1" a="1"/>
  <c r="D86" i="16" s="1"/>
  <c r="F86" i="16" s="1"/>
  <c r="G21" i="16"/>
  <c r="G22" i="16" s="1"/>
  <c r="D57" i="18" a="1"/>
  <c r="D57" i="18" s="1"/>
  <c r="D58" i="18" a="1"/>
  <c r="D58" i="18" s="1"/>
  <c r="D54" i="18" a="1"/>
  <c r="D54" i="18" s="1"/>
  <c r="D55" i="18" a="1"/>
  <c r="D55" i="18" s="1"/>
  <c r="F82" i="16"/>
  <c r="D79" i="16" a="1"/>
  <c r="D79" i="16" s="1"/>
  <c r="F79" i="16" s="1"/>
  <c r="F62" i="3"/>
  <c r="F63" i="3" s="1"/>
  <c r="F64" i="3" s="1"/>
  <c r="C66" i="3" s="1" a="1"/>
  <c r="C66" i="3" s="1"/>
  <c r="C68" i="3" s="1"/>
  <c r="F21" i="15"/>
  <c r="F22" i="15" s="1"/>
  <c r="F59" i="18" l="1"/>
  <c r="F87" i="16"/>
  <c r="C92" i="16" s="1" a="1"/>
  <c r="C92" i="16" s="1"/>
  <c r="C94" i="16" s="1"/>
  <c r="F60" i="18" l="1"/>
  <c r="F61" i="18" s="1"/>
  <c r="C63" i="18" s="1" a="1"/>
  <c r="C63" i="18" s="1"/>
  <c r="C65" i="18" s="1"/>
  <c r="G59" i="18"/>
  <c r="G60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<sst xmlns="http://schemas.openxmlformats.org/spreadsheetml/2006/main" count="889" uniqueCount="330">
  <si>
    <r>
      <rPr>
        <b/>
        <sz val="8"/>
        <rFont val="Trebuchet MS"/>
        <family val="2"/>
      </rPr>
      <t>Scorecard-Indicated Outcome</t>
    </r>
  </si>
  <si>
    <r>
      <rPr>
        <b/>
        <sz val="7.5"/>
        <color rgb="FF0078BD"/>
        <rFont val="Trebuchet MS"/>
        <family val="2"/>
      </rPr>
      <t>Scorecard-Indicated Outcome</t>
    </r>
  </si>
  <si>
    <r>
      <rPr>
        <b/>
        <sz val="7.5"/>
        <color rgb="FF0078BD"/>
        <rFont val="Trebuchet MS"/>
        <family val="2"/>
      </rPr>
      <t>Aggregate Weighted Total Factor Score</t>
    </r>
  </si>
  <si>
    <r>
      <rPr>
        <sz val="8.5"/>
        <rFont val="Trebuchet MS"/>
        <family val="2"/>
      </rPr>
      <t>Aaa</t>
    </r>
  </si>
  <si>
    <r>
      <rPr>
        <sz val="8.5"/>
        <rFont val="Trebuchet MS"/>
        <family val="2"/>
      </rPr>
      <t>x &lt; 1.5</t>
    </r>
  </si>
  <si>
    <r>
      <rPr>
        <sz val="8.5"/>
        <rFont val="Trebuchet MS"/>
        <family val="2"/>
      </rPr>
      <t>Aa1</t>
    </r>
  </si>
  <si>
    <r>
      <rPr>
        <sz val="8.5"/>
        <rFont val="Trebuchet MS"/>
        <family val="2"/>
      </rPr>
      <t>1.5 ≤ x &lt; 2.5</t>
    </r>
  </si>
  <si>
    <r>
      <rPr>
        <sz val="8.5"/>
        <rFont val="Trebuchet MS"/>
        <family val="2"/>
      </rPr>
      <t>Aa2</t>
    </r>
  </si>
  <si>
    <r>
      <rPr>
        <sz val="8.5"/>
        <rFont val="Trebuchet MS"/>
        <family val="2"/>
      </rPr>
      <t>2.5 ≤ x &lt; 3.5</t>
    </r>
  </si>
  <si>
    <r>
      <rPr>
        <sz val="8.5"/>
        <rFont val="Trebuchet MS"/>
        <family val="2"/>
      </rPr>
      <t>Aa3</t>
    </r>
  </si>
  <si>
    <r>
      <rPr>
        <sz val="8.5"/>
        <rFont val="Trebuchet MS"/>
        <family val="2"/>
      </rPr>
      <t>3.5 ≤ x &lt; 4.5</t>
    </r>
  </si>
  <si>
    <r>
      <rPr>
        <sz val="8.5"/>
        <rFont val="Trebuchet MS"/>
        <family val="2"/>
      </rPr>
      <t>A1</t>
    </r>
  </si>
  <si>
    <r>
      <rPr>
        <sz val="8.5"/>
        <rFont val="Trebuchet MS"/>
        <family val="2"/>
      </rPr>
      <t>4.5 ≤ x &lt; 5.5</t>
    </r>
  </si>
  <si>
    <r>
      <rPr>
        <sz val="8.5"/>
        <rFont val="Trebuchet MS"/>
        <family val="2"/>
      </rPr>
      <t>A2</t>
    </r>
  </si>
  <si>
    <r>
      <rPr>
        <sz val="8.5"/>
        <rFont val="Trebuchet MS"/>
        <family val="2"/>
      </rPr>
      <t>5.5 ≤ x &lt; 6.5</t>
    </r>
  </si>
  <si>
    <r>
      <rPr>
        <sz val="8.5"/>
        <rFont val="Trebuchet MS"/>
        <family val="2"/>
      </rPr>
      <t>A3</t>
    </r>
  </si>
  <si>
    <r>
      <rPr>
        <sz val="8.5"/>
        <rFont val="Trebuchet MS"/>
        <family val="2"/>
      </rPr>
      <t>6.5 ≤ x &lt; 7.5</t>
    </r>
  </si>
  <si>
    <r>
      <rPr>
        <sz val="8.5"/>
        <rFont val="Trebuchet MS"/>
        <family val="2"/>
      </rPr>
      <t>Baa1</t>
    </r>
  </si>
  <si>
    <r>
      <rPr>
        <sz val="8.5"/>
        <rFont val="Trebuchet MS"/>
        <family val="2"/>
      </rPr>
      <t>7.5 ≤ x &lt; 8.5</t>
    </r>
  </si>
  <si>
    <r>
      <rPr>
        <sz val="8.5"/>
        <rFont val="Trebuchet MS"/>
        <family val="2"/>
      </rPr>
      <t>Baa2</t>
    </r>
  </si>
  <si>
    <r>
      <rPr>
        <sz val="8.5"/>
        <rFont val="Trebuchet MS"/>
        <family val="2"/>
      </rPr>
      <t>8.5 ≤ x &lt; 9.5</t>
    </r>
  </si>
  <si>
    <r>
      <rPr>
        <sz val="8.5"/>
        <rFont val="Trebuchet MS"/>
        <family val="2"/>
      </rPr>
      <t>Baa3</t>
    </r>
  </si>
  <si>
    <r>
      <rPr>
        <sz val="8.5"/>
        <rFont val="Trebuchet MS"/>
        <family val="2"/>
      </rPr>
      <t>9.5 ≤ x &lt; 10.5</t>
    </r>
  </si>
  <si>
    <r>
      <rPr>
        <sz val="8.5"/>
        <rFont val="Trebuchet MS"/>
        <family val="2"/>
      </rPr>
      <t>Ba1</t>
    </r>
  </si>
  <si>
    <r>
      <rPr>
        <sz val="8.5"/>
        <rFont val="Trebuchet MS"/>
        <family val="2"/>
      </rPr>
      <t>10.5 ≤ x &lt; 11.5</t>
    </r>
  </si>
  <si>
    <r>
      <rPr>
        <sz val="8.5"/>
        <rFont val="Trebuchet MS"/>
        <family val="2"/>
      </rPr>
      <t>Ba2</t>
    </r>
  </si>
  <si>
    <r>
      <rPr>
        <sz val="8.5"/>
        <rFont val="Trebuchet MS"/>
        <family val="2"/>
      </rPr>
      <t>11.5 ≤ x &lt; 12.5</t>
    </r>
  </si>
  <si>
    <r>
      <rPr>
        <sz val="8.5"/>
        <rFont val="Trebuchet MS"/>
        <family val="2"/>
      </rPr>
      <t>Ba3</t>
    </r>
  </si>
  <si>
    <r>
      <rPr>
        <sz val="8.5"/>
        <rFont val="Trebuchet MS"/>
        <family val="2"/>
      </rPr>
      <t>12.5 ≤ x &lt; 13.5</t>
    </r>
  </si>
  <si>
    <r>
      <rPr>
        <sz val="8.5"/>
        <rFont val="Trebuchet MS"/>
        <family val="2"/>
      </rPr>
      <t>13.5 ≤ x &lt; 14.5</t>
    </r>
  </si>
  <si>
    <r>
      <rPr>
        <sz val="8.5"/>
        <rFont val="Trebuchet MS"/>
        <family val="2"/>
      </rPr>
      <t>B2</t>
    </r>
  </si>
  <si>
    <r>
      <rPr>
        <sz val="8.5"/>
        <rFont val="Trebuchet MS"/>
        <family val="2"/>
      </rPr>
      <t>14.5 ≤ x &lt; 15.5</t>
    </r>
  </si>
  <si>
    <r>
      <rPr>
        <sz val="8.5"/>
        <rFont val="Trebuchet MS"/>
        <family val="2"/>
      </rPr>
      <t>B3</t>
    </r>
  </si>
  <si>
    <r>
      <rPr>
        <sz val="8.5"/>
        <rFont val="Trebuchet MS"/>
        <family val="2"/>
      </rPr>
      <t>15.5 ≤ x &lt; 16.5</t>
    </r>
  </si>
  <si>
    <r>
      <rPr>
        <sz val="8.5"/>
        <rFont val="Trebuchet MS"/>
        <family val="2"/>
      </rPr>
      <t>Caa1</t>
    </r>
  </si>
  <si>
    <r>
      <rPr>
        <sz val="8.5"/>
        <rFont val="Trebuchet MS"/>
        <family val="2"/>
      </rPr>
      <t>16.5 ≤ x &lt; 17.5</t>
    </r>
  </si>
  <si>
    <r>
      <rPr>
        <sz val="8.5"/>
        <rFont val="Trebuchet MS"/>
        <family val="2"/>
      </rPr>
      <t>Caa2</t>
    </r>
  </si>
  <si>
    <r>
      <rPr>
        <sz val="8.5"/>
        <rFont val="Trebuchet MS"/>
        <family val="2"/>
      </rPr>
      <t>17.5 ≤ x &lt; 18.5</t>
    </r>
  </si>
  <si>
    <r>
      <rPr>
        <sz val="8.5"/>
        <rFont val="Trebuchet MS"/>
        <family val="2"/>
      </rPr>
      <t>Caa3</t>
    </r>
  </si>
  <si>
    <r>
      <rPr>
        <sz val="8.5"/>
        <rFont val="Trebuchet MS"/>
        <family val="2"/>
      </rPr>
      <t>18.5 ≤ x &lt; 19.5</t>
    </r>
  </si>
  <si>
    <r>
      <rPr>
        <sz val="8.5"/>
        <rFont val="Trebuchet MS"/>
        <family val="2"/>
      </rPr>
      <t>Ca</t>
    </r>
  </si>
  <si>
    <r>
      <rPr>
        <sz val="8.5"/>
        <rFont val="Trebuchet MS"/>
        <family val="2"/>
      </rPr>
      <t>x ≥ 19.5</t>
    </r>
  </si>
  <si>
    <t>B1</t>
  </si>
  <si>
    <t>Demand Characteristics</t>
  </si>
  <si>
    <t>Competitive Profile</t>
  </si>
  <si>
    <t>EBITA Margin</t>
  </si>
  <si>
    <t>Financial Policy</t>
  </si>
  <si>
    <t>Revenue  (USD Billion)</t>
  </si>
  <si>
    <t>Debt / EBITDA</t>
  </si>
  <si>
    <t>1-2x</t>
  </si>
  <si>
    <t>EBITA / Interest</t>
  </si>
  <si>
    <t>RCF / Net Debt</t>
  </si>
  <si>
    <t xml:space="preserve">Direct </t>
  </si>
  <si>
    <t>Interpilated</t>
  </si>
  <si>
    <t>Aaa</t>
  </si>
  <si>
    <t>Aa</t>
  </si>
  <si>
    <t>A</t>
  </si>
  <si>
    <t>Baa</t>
  </si>
  <si>
    <t>Ba</t>
  </si>
  <si>
    <t>B</t>
  </si>
  <si>
    <t>Caa</t>
  </si>
  <si>
    <t>Ca</t>
  </si>
  <si>
    <t>Rating</t>
  </si>
  <si>
    <t>&lt;5%</t>
  </si>
  <si>
    <t>&lt;2.5%</t>
  </si>
  <si>
    <t>&lt; )0.2</t>
  </si>
  <si>
    <t>≥9x</t>
  </si>
  <si>
    <t>1-3x</t>
  </si>
  <si>
    <t>NZ Post 3y</t>
  </si>
  <si>
    <t>Pricing Matrix using assessed range and then filling in</t>
  </si>
  <si>
    <t>A-</t>
  </si>
  <si>
    <t>BBB+</t>
  </si>
  <si>
    <t>BBB</t>
  </si>
  <si>
    <t>BBB-</t>
  </si>
  <si>
    <t>BB+</t>
  </si>
  <si>
    <t>1 Year</t>
  </si>
  <si>
    <t>75 - 90</t>
  </si>
  <si>
    <t>95 - 105</t>
  </si>
  <si>
    <t>120 - 130</t>
  </si>
  <si>
    <t>145 - 160</t>
  </si>
  <si>
    <t>220 - 240</t>
  </si>
  <si>
    <t>2 Year</t>
  </si>
  <si>
    <t>85 - 95</t>
  </si>
  <si>
    <t>105 - 125</t>
  </si>
  <si>
    <t>130 - 145</t>
  </si>
  <si>
    <t>160 - 180</t>
  </si>
  <si>
    <t>230 -250</t>
  </si>
  <si>
    <t>3 Year</t>
  </si>
  <si>
    <t>115 - 135</t>
  </si>
  <si>
    <t>140 - 160</t>
  </si>
  <si>
    <t>175 - 195</t>
  </si>
  <si>
    <t>245 - 265</t>
  </si>
  <si>
    <t>4 Year</t>
  </si>
  <si>
    <t>115 - 125</t>
  </si>
  <si>
    <t>125 - 145</t>
  </si>
  <si>
    <t>150 - 175</t>
  </si>
  <si>
    <t>185 - 210</t>
  </si>
  <si>
    <t>265 - 285</t>
  </si>
  <si>
    <t>5 Year</t>
  </si>
  <si>
    <t>135 - 145</t>
  </si>
  <si>
    <t>145 - 165</t>
  </si>
  <si>
    <t>170 - 195</t>
  </si>
  <si>
    <t>205 - 230</t>
  </si>
  <si>
    <t>285 - 305</t>
  </si>
  <si>
    <t>Assessed pricing.  Other cells based on deltas by tenor and then by rating band</t>
  </si>
  <si>
    <t>Moody's</t>
  </si>
  <si>
    <t>S&amp;P</t>
  </si>
  <si>
    <t>AAA</t>
  </si>
  <si>
    <t>Aa1</t>
  </si>
  <si>
    <t>AA+</t>
  </si>
  <si>
    <t>Aa2</t>
  </si>
  <si>
    <t>AA</t>
  </si>
  <si>
    <t>Aa3</t>
  </si>
  <si>
    <t>AA-</t>
  </si>
  <si>
    <t>A1</t>
  </si>
  <si>
    <t>A+</t>
  </si>
  <si>
    <t>A2</t>
  </si>
  <si>
    <t>A3</t>
  </si>
  <si>
    <t>Baa1</t>
  </si>
  <si>
    <t>Baa2</t>
  </si>
  <si>
    <t>Baa3</t>
  </si>
  <si>
    <t>Ba1</t>
  </si>
  <si>
    <t>Ba2</t>
  </si>
  <si>
    <t>BB</t>
  </si>
  <si>
    <t>Ba3</t>
  </si>
  <si>
    <t>BB-</t>
  </si>
  <si>
    <t>B+</t>
  </si>
  <si>
    <t>B2</t>
  </si>
  <si>
    <t>B3</t>
  </si>
  <si>
    <t>B-</t>
  </si>
  <si>
    <t>Caa1</t>
  </si>
  <si>
    <t>CCC+</t>
  </si>
  <si>
    <t>Caa2</t>
  </si>
  <si>
    <t>CCC</t>
  </si>
  <si>
    <t>Caa3</t>
  </si>
  <si>
    <t>CCC-</t>
  </si>
  <si>
    <t>CC</t>
  </si>
  <si>
    <t>≥ 50%</t>
  </si>
  <si>
    <t>Moody's rating</t>
  </si>
  <si>
    <t>S&amp;P Rating</t>
  </si>
  <si>
    <t>20-25%</t>
  </si>
  <si>
    <t>3-6x</t>
  </si>
  <si>
    <t>7.5-15%</t>
  </si>
  <si>
    <t>2-3x</t>
  </si>
  <si>
    <t>4.5-6.5x</t>
  </si>
  <si>
    <t>6-10x</t>
  </si>
  <si>
    <t>25-40%</t>
  </si>
  <si>
    <t>Tenor</t>
  </si>
  <si>
    <t>Indicative pricing</t>
  </si>
  <si>
    <t>&lt; 0.5x</t>
  </si>
  <si>
    <t>Customer pricing</t>
  </si>
  <si>
    <t>Delta</t>
  </si>
  <si>
    <t>≥ 60</t>
  </si>
  <si>
    <t>30-60</t>
  </si>
  <si>
    <t>1.5-5</t>
  </si>
  <si>
    <t>0.5-1.5</t>
  </si>
  <si>
    <t>0.2-0.5</t>
  </si>
  <si>
    <t>&lt;0.2</t>
  </si>
  <si>
    <t>3-4.5x</t>
  </si>
  <si>
    <t>10-30</t>
  </si>
  <si>
    <t>5-10</t>
  </si>
  <si>
    <t>Business and Consumer Service Industry</t>
  </si>
  <si>
    <t>DEBT / EBITDA:</t>
  </si>
  <si>
    <t>The metric is defined as total debt divided by EBITDA.</t>
  </si>
  <si>
    <t>EBITA / INTEREST EXPENSE:</t>
  </si>
  <si>
    <t>The metric is defined as consolidated EBITA divided by consolidated interest expense.</t>
  </si>
  <si>
    <t>RCF / NET DEBT:</t>
  </si>
  <si>
    <t>The metric is defined as operations less dividends divided by net debt (total debt less cash and cash</t>
  </si>
  <si>
    <t>equivalents).</t>
  </si>
  <si>
    <t>Interest</t>
  </si>
  <si>
    <t>Gross Interest Expense per the Income Statement</t>
  </si>
  <si>
    <t>Scorecard-Indicated Outcome</t>
  </si>
  <si>
    <t>x &lt; 1.5</t>
  </si>
  <si>
    <t>1.5 ≤ x &lt; 2.5</t>
  </si>
  <si>
    <t>2.5 ≤ x &lt; 3.5</t>
  </si>
  <si>
    <t>3.5 ≤ x &lt; 4.5</t>
  </si>
  <si>
    <t>4.5 ≤ x &lt; 5.5</t>
  </si>
  <si>
    <t>5.5 ≤ x &lt; 6.5</t>
  </si>
  <si>
    <t>6.5 ≤ x &lt; 7.5</t>
  </si>
  <si>
    <t>7.5 ≤ x &lt; 8.5</t>
  </si>
  <si>
    <t>8.5 ≤ x &lt; 9.5</t>
  </si>
  <si>
    <t>9.5 ≤ x &lt; 10.5</t>
  </si>
  <si>
    <t>10.5 ≤ x &lt; 11.5</t>
  </si>
  <si>
    <t>11.5 ≤ x &lt; 12.5</t>
  </si>
  <si>
    <t>12.5 ≤ x &lt; 13.5</t>
  </si>
  <si>
    <t>13.5 ≤ x &lt; 14.5</t>
  </si>
  <si>
    <t>14.5 ≤ x &lt; 15.5</t>
  </si>
  <si>
    <t>15.5 ≤ x &lt; 16.5</t>
  </si>
  <si>
    <t>16.5 ≤ x &lt; 17.5</t>
  </si>
  <si>
    <t>17.5 ≤ x &lt; 18.5</t>
  </si>
  <si>
    <t>18.5 ≤ x &lt; 19.5</t>
  </si>
  <si>
    <t>x ≥ 19.5</t>
  </si>
  <si>
    <r>
      <rPr>
        <b/>
        <sz val="10"/>
        <color rgb="FF0078BD"/>
        <rFont val="Calibri"/>
        <family val="2"/>
        <scheme val="minor"/>
      </rPr>
      <t>Scorecard-Indicated Outcome</t>
    </r>
  </si>
  <si>
    <r>
      <rPr>
        <b/>
        <sz val="10"/>
        <color rgb="FF0078BD"/>
        <rFont val="Calibri"/>
        <family val="2"/>
        <scheme val="minor"/>
      </rPr>
      <t>Aggregate Weighted Total Factor Score</t>
    </r>
  </si>
  <si>
    <t>Revenue (Mn)</t>
  </si>
  <si>
    <t>EBITDA</t>
  </si>
  <si>
    <t>EBIT</t>
  </si>
  <si>
    <t>+ Depreciation</t>
  </si>
  <si>
    <t>+ Amortization of intangibles</t>
  </si>
  <si>
    <t>Short-term Debt</t>
  </si>
  <si>
    <t>+ Liability for Capital Leases (if not already included in Debt)</t>
  </si>
  <si>
    <t>+ Current Portion of Long-term Debt</t>
  </si>
  <si>
    <t>+ Long-term Debt, net of Current Portion</t>
  </si>
  <si>
    <t>Debt</t>
  </si>
  <si>
    <t>EBITA</t>
  </si>
  <si>
    <t xml:space="preserve">  </t>
  </si>
  <si>
    <t>- Cash and Cash Equivalents per the Balance Sheet</t>
  </si>
  <si>
    <t>- Cash-like current financial assets per the Balance Sheet</t>
  </si>
  <si>
    <t>Net debt</t>
  </si>
  <si>
    <t>- Common Dividends per the Consolidated Statement of Cash Flow</t>
  </si>
  <si>
    <t>- Preferred Dividends per the Consolidated Statement of Cash Flow</t>
  </si>
  <si>
    <t>- Minority Dividends per the Consolidated Statement of Cash Flow</t>
  </si>
  <si>
    <t>Cash Flow From Operations (CFO)</t>
  </si>
  <si>
    <t>Cash Flow from Operating activities per the Consolidated Statement of Cash Flow.</t>
  </si>
  <si>
    <t>Funds From Operations (FFO)</t>
  </si>
  <si>
    <t>Y1 Net working capital</t>
  </si>
  <si>
    <t>Y0 Net working capital</t>
  </si>
  <si>
    <t>Change in NWC</t>
  </si>
  <si>
    <t>Y0 Net long term operating assets and liabilities</t>
  </si>
  <si>
    <t>Y1 Net Net operating assets and liabilities</t>
  </si>
  <si>
    <t>Change in long term operating assets and liabilities</t>
  </si>
  <si>
    <t>Retained Cash Flow (RCF)</t>
  </si>
  <si>
    <t>35-50%</t>
  </si>
  <si>
    <t>25- 35%</t>
  </si>
  <si>
    <t>15-20%</t>
  </si>
  <si>
    <t>10-15%</t>
  </si>
  <si>
    <t>5-10%</t>
  </si>
  <si>
    <t>0.5-1x</t>
  </si>
  <si>
    <t>6.5-9x</t>
  </si>
  <si>
    <t>≥25x</t>
  </si>
  <si>
    <t>15-25x</t>
  </si>
  <si>
    <t>10-15x</t>
  </si>
  <si>
    <t>0-1x</t>
  </si>
  <si>
    <t>&lt;0x</t>
  </si>
  <si>
    <t>≥ 80%</t>
  </si>
  <si>
    <t>60-80%</t>
  </si>
  <si>
    <t>40-60%</t>
  </si>
  <si>
    <t>15-25%</t>
  </si>
  <si>
    <t>2.5-7.5%</t>
  </si>
  <si>
    <t>Gross interest</t>
  </si>
  <si>
    <t>Operating Margin</t>
  </si>
  <si>
    <t>24% - 30%</t>
  </si>
  <si>
    <t>18% - 24%</t>
  </si>
  <si>
    <t>Operating Margin Volatility</t>
  </si>
  <si>
    <t>2.5% - 5%</t>
  </si>
  <si>
    <t>17.5% - 25%</t>
  </si>
  <si>
    <t>40% - 50%</t>
  </si>
  <si>
    <t>EBIT/Avg. Assets</t>
  </si>
  <si>
    <t>16% - 25%</t>
  </si>
  <si>
    <t>2% - 4%</t>
  </si>
  <si>
    <t>15% - 20%</t>
  </si>
  <si>
    <t>20% - 30%</t>
  </si>
  <si>
    <t>45% - 65%</t>
  </si>
  <si>
    <t>65% - 80%</t>
  </si>
  <si>
    <t>2x - 4x</t>
  </si>
  <si>
    <t>50% - 70%</t>
  </si>
  <si>
    <t>35% - 50%</t>
  </si>
  <si>
    <t>20% - 35%</t>
  </si>
  <si>
    <t>10% - 20%</t>
  </si>
  <si>
    <t>Debt/Book Capitalization</t>
  </si>
  <si>
    <t>≥ (40</t>
  </si>
  <si>
    <t>(10 - (20</t>
  </si>
  <si>
    <t>(3 - (10</t>
  </si>
  <si>
    <t>(1.25 - (3</t>
  </si>
  <si>
    <t>(0.25 - (1.25</t>
  </si>
  <si>
    <t>(0.1 - (0.25</t>
  </si>
  <si>
    <t>&lt; (0.1</t>
  </si>
  <si>
    <t>≥  30%</t>
  </si>
  <si>
    <t>12.5% - 18%</t>
  </si>
  <si>
    <t>7.5% - 12.5%</t>
  </si>
  <si>
    <t>2.5% - 7.5%</t>
  </si>
  <si>
    <t>1% - 2.5%</t>
  </si>
  <si>
    <t>&lt; 1%</t>
  </si>
  <si>
    <t>&lt; 2.5%</t>
  </si>
  <si>
    <t>5% - 10%</t>
  </si>
  <si>
    <t>10% - 17.5%</t>
  </si>
  <si>
    <t>25% - 40%</t>
  </si>
  <si>
    <t>≥ 25%</t>
  </si>
  <si>
    <t>11% - 16%</t>
  </si>
  <si>
    <t>7% - 11%</t>
  </si>
  <si>
    <t>4% - 7%</t>
  </si>
  <si>
    <t>1% - 2%</t>
  </si>
  <si>
    <t>&lt; 15%</t>
  </si>
  <si>
    <t>30% - 45%</t>
  </si>
  <si>
    <t>80% - 100%</t>
  </si>
  <si>
    <t>≥  100%</t>
  </si>
  <si>
    <t>Debt/EBITDA</t>
  </si>
  <si>
    <t>&lt; 1x</t>
  </si>
  <si>
    <t>1x - 1.75x</t>
  </si>
  <si>
    <t>1.75x - 2.5x</t>
  </si>
  <si>
    <t>2.5x - 3.5x</t>
  </si>
  <si>
    <t>3.5x - 4.5x</t>
  </si>
  <si>
    <t>4.5x - 6x</t>
  </si>
  <si>
    <t>6x - 7x</t>
  </si>
  <si>
    <t>≥  7x</t>
  </si>
  <si>
    <t>EBIT/Interest       10% Expense</t>
  </si>
  <si>
    <t>≥  16x</t>
  </si>
  <si>
    <t>10x - 16x</t>
  </si>
  <si>
    <t>7x - 10x</t>
  </si>
  <si>
    <t>4x - 7x</t>
  </si>
  <si>
    <t>1x - 2x</t>
  </si>
  <si>
    <t>0.5x - 1x</t>
  </si>
  <si>
    <t>RCF/Net Debt     10%</t>
  </si>
  <si>
    <t>≥  70%</t>
  </si>
  <si>
    <t>Revenue</t>
  </si>
  <si>
    <t>20 - 40</t>
  </si>
  <si>
    <t>Building Materials Industry</t>
  </si>
  <si>
    <t>Y0</t>
  </si>
  <si>
    <t>-Y1</t>
  </si>
  <si>
    <t>-Y4</t>
  </si>
  <si>
    <t>-Y3</t>
  </si>
  <si>
    <t>-Y2</t>
  </si>
  <si>
    <t>5 year standard deviation of operating margin</t>
  </si>
  <si>
    <t>Assets</t>
  </si>
  <si>
    <t>+ Total Equity per the Balance Sheet</t>
  </si>
  <si>
    <t xml:space="preserve">+ Minority interest per the Balance Sheet </t>
  </si>
  <si>
    <t>+ Non-Current Deferred Income Taxes per the Balance Sheet</t>
  </si>
  <si>
    <t>Equity</t>
  </si>
  <si>
    <t>Capitalization</t>
  </si>
  <si>
    <t xml:space="preserve">EBIT/Interest     </t>
  </si>
  <si>
    <t>RCF/Net Debt</t>
  </si>
  <si>
    <r>
      <rPr>
        <b/>
        <sz val="10"/>
        <color rgb="FF0078BD"/>
        <rFont val="Calibri"/>
        <family val="2"/>
        <scheme val="minor"/>
      </rPr>
      <t>Aa</t>
    </r>
  </si>
  <si>
    <r>
      <rPr>
        <b/>
        <sz val="10"/>
        <color rgb="FF0078BD"/>
        <rFont val="Calibri"/>
        <family val="2"/>
        <scheme val="minor"/>
      </rPr>
      <t>A</t>
    </r>
  </si>
  <si>
    <r>
      <rPr>
        <b/>
        <sz val="10"/>
        <color rgb="FF0078BD"/>
        <rFont val="Calibri"/>
        <family val="2"/>
        <scheme val="minor"/>
      </rPr>
      <t>Baa</t>
    </r>
  </si>
  <si>
    <r>
      <rPr>
        <b/>
        <sz val="10"/>
        <color rgb="FF0078BD"/>
        <rFont val="Calibri"/>
        <family val="2"/>
        <scheme val="minor"/>
      </rPr>
      <t>Ba</t>
    </r>
  </si>
  <si>
    <r>
      <rPr>
        <b/>
        <sz val="10"/>
        <color rgb="FF0078BD"/>
        <rFont val="Calibri"/>
        <family val="2"/>
        <scheme val="minor"/>
      </rPr>
      <t>B</t>
    </r>
  </si>
  <si>
    <r>
      <rPr>
        <b/>
        <sz val="10"/>
        <color rgb="FF0078BD"/>
        <rFont val="Calibri"/>
        <family val="2"/>
        <scheme val="minor"/>
      </rPr>
      <t>Caa</t>
    </r>
  </si>
  <si>
    <r>
      <rPr>
        <b/>
        <sz val="10"/>
        <color rgb="FF0078BD"/>
        <rFont val="Calibri"/>
        <family val="2"/>
        <scheme val="minor"/>
      </rPr>
      <t>Ca</t>
    </r>
  </si>
  <si>
    <r>
      <rPr>
        <b/>
        <sz val="10"/>
        <color rgb="FF0078BD"/>
        <rFont val="Calibri"/>
        <family val="2"/>
        <scheme val="minor"/>
      </rPr>
      <t>Aaa</t>
    </r>
  </si>
  <si>
    <t>Y1 Net operating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</si>
</sst>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"/>
    <numFmt numFmtId="165" formatCode="0\ &quot;years&quot;"/>
    <numFmt numFmtId="166" formatCode="#,##0_);\(#,##0\)"/>
    <numFmt numFmtId="167" formatCode="0&quot; bps&quot;"/>
    <numFmt numFmtId="168" formatCode="_-* #,##0.000_-;\-* #,##0.000_-;_-* &quot;-&quot;??_-;_-@_-"/>
    <numFmt numFmtId="169" formatCode="0.00&quot;x&quot;"/>
    <numFmt numFmtId="170" formatCode="_-* #,##0.0_-;\-* #,##0.0_-;_-* &quot;-&quot;??_-;_-@_-"/>
    <numFmt numFmtId="171" formatCode="0.0%"/>
    <numFmt numFmtId="172" formatCode="&quot;Y&quot;0"/>
  </numFmts>
  <fonts count="23" x14ac:knownFonts="1">
    <font>
      <sz val="10"/>
      <color rgb="FF000000"/>
      <name val="Times New Roman"/>
      <charset val="204"/>
    </font>
    <font>
      <b/>
      <sz val="7.5"/>
      <name val="Trebuchet MS"/>
      <family val="2"/>
    </font>
    <font>
      <sz val="8.5"/>
      <name val="Trebuchet MS"/>
      <family val="2"/>
    </font>
    <font>
      <sz val="8.5"/>
      <color rgb="FF000000"/>
      <name val="Trebuchet MS"/>
      <family val="2"/>
    </font>
    <font>
      <b/>
      <sz val="8"/>
      <name val="Trebuchet MS"/>
      <family val="2"/>
    </font>
    <font>
      <b/>
      <sz val="7.5"/>
      <color rgb="FF0078BD"/>
      <name val="Trebuchet MS"/>
      <family val="2"/>
    </font>
    <font>
      <sz val="8.5"/>
      <name val="Trebuchet MS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3F3F76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78BD"/>
      <name val="Calibri"/>
      <family val="2"/>
      <scheme val="minor"/>
    </font>
    <font>
      <sz val="10"/>
      <name val="Calibri"/>
      <family val="2"/>
      <scheme val="minor"/>
    </font>
    <font>
      <sz val="10"/>
      <color rgb="FF3F3F7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3F3F7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00B050"/>
      </left>
      <right/>
      <top style="double">
        <color rgb="FF00B050"/>
      </top>
      <bottom/>
      <diagonal/>
    </border>
    <border>
      <left/>
      <right/>
      <top style="double">
        <color rgb="FF00B050"/>
      </top>
      <bottom/>
      <diagonal/>
    </border>
    <border>
      <left/>
      <right style="double">
        <color rgb="FF00B050"/>
      </right>
      <top style="double">
        <color rgb="FF00B050"/>
      </top>
      <bottom/>
      <diagonal/>
    </border>
    <border>
      <left style="double">
        <color rgb="FF00B050"/>
      </left>
      <right/>
      <top/>
      <bottom/>
      <diagonal/>
    </border>
    <border>
      <left/>
      <right style="double">
        <color rgb="FF00B05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00B050"/>
      </left>
      <right/>
      <top/>
      <bottom style="double">
        <color rgb="FF00B050"/>
      </bottom>
      <diagonal/>
    </border>
    <border>
      <left/>
      <right/>
      <top/>
      <bottom style="double">
        <color rgb="FF00B050"/>
      </bottom>
      <diagonal/>
    </border>
    <border>
      <left/>
      <right style="double">
        <color rgb="FF00B050"/>
      </right>
      <top/>
      <bottom style="double">
        <color rgb="FF00B050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2" borderId="4" applyNumberFormat="0" applyAlignment="0" applyProtection="0"/>
  </cellStyleXfs>
  <cellXfs count="132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 vertical="center"/>
    </xf>
    <xf numFmtId="1" fontId="3" fillId="0" borderId="1" xfId="0" applyNumberFormat="1" applyFont="1" applyBorder="1" applyAlignment="1">
      <alignment horizontal="right" vertical="center" shrinkToFit="1"/>
    </xf>
    <xf numFmtId="0" fontId="4" fillId="0" borderId="2" xfId="0" applyFont="1" applyBorder="1" applyAlignment="1">
      <alignment vertical="top"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vertical="top" wrapText="1"/>
    </xf>
    <xf numFmtId="0" fontId="6" fillId="0" borderId="2" xfId="0" applyFont="1" applyBorder="1" applyAlignment="1">
      <alignment horizontal="left" vertical="top" wrapText="1"/>
    </xf>
    <xf numFmtId="9" fontId="0" fillId="0" borderId="0" xfId="1" applyFon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7" fillId="0" borderId="0" xfId="0" applyFont="1" applyAlignment="1">
      <alignment horizontal="right" vertical="top"/>
    </xf>
    <xf numFmtId="0" fontId="10" fillId="3" borderId="0" xfId="0" applyFont="1" applyFill="1"/>
    <xf numFmtId="1" fontId="10" fillId="3" borderId="0" xfId="0" applyNumberFormat="1" applyFont="1" applyFill="1"/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0" fillId="0" borderId="8" xfId="0" applyFont="1" applyBorder="1"/>
    <xf numFmtId="0" fontId="10" fillId="0" borderId="0" xfId="0" applyFont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4" borderId="0" xfId="1" applyNumberFormat="1" applyFont="1" applyFill="1" applyBorder="1" applyAlignment="1">
      <alignment horizontal="center"/>
    </xf>
    <xf numFmtId="0" fontId="10" fillId="4" borderId="0" xfId="1" quotePrefix="1" applyNumberFormat="1" applyFont="1" applyFill="1" applyBorder="1" applyAlignment="1">
      <alignment horizontal="center"/>
    </xf>
    <xf numFmtId="0" fontId="10" fillId="4" borderId="9" xfId="1" quotePrefix="1" applyNumberFormat="1" applyFont="1" applyFill="1" applyBorder="1" applyAlignment="1">
      <alignment horizontal="center"/>
    </xf>
    <xf numFmtId="0" fontId="10" fillId="4" borderId="10" xfId="1" applyNumberFormat="1" applyFont="1" applyFill="1" applyBorder="1" applyAlignment="1">
      <alignment horizontal="center"/>
    </xf>
    <xf numFmtId="0" fontId="10" fillId="4" borderId="11" xfId="1" quotePrefix="1" applyNumberFormat="1" applyFont="1" applyFill="1" applyBorder="1" applyAlignment="1">
      <alignment horizontal="center"/>
    </xf>
    <xf numFmtId="0" fontId="10" fillId="4" borderId="12" xfId="1" quotePrefix="1" applyNumberFormat="1" applyFont="1" applyFill="1" applyBorder="1" applyAlignment="1">
      <alignment horizontal="center"/>
    </xf>
    <xf numFmtId="0" fontId="12" fillId="5" borderId="13" xfId="0" applyFont="1" applyFill="1" applyBorder="1"/>
    <xf numFmtId="0" fontId="10" fillId="0" borderId="14" xfId="0" applyFont="1" applyBorder="1"/>
    <xf numFmtId="0" fontId="10" fillId="0" borderId="15" xfId="0" applyFont="1" applyBorder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vertical="top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 vertical="top"/>
    </xf>
    <xf numFmtId="0" fontId="14" fillId="0" borderId="2" xfId="0" applyFont="1" applyBorder="1" applyAlignment="1">
      <alignment vertical="top"/>
    </xf>
    <xf numFmtId="0" fontId="13" fillId="0" borderId="2" xfId="0" applyFont="1" applyBorder="1" applyAlignment="1">
      <alignment wrapText="1"/>
    </xf>
    <xf numFmtId="165" fontId="13" fillId="0" borderId="0" xfId="0" applyNumberFormat="1" applyFont="1" applyAlignment="1">
      <alignment horizontal="left" vertical="top"/>
    </xf>
    <xf numFmtId="0" fontId="14" fillId="0" borderId="3" xfId="0" applyFont="1" applyBorder="1" applyAlignment="1">
      <alignment vertical="top"/>
    </xf>
    <xf numFmtId="1" fontId="13" fillId="0" borderId="1" xfId="0" applyNumberFormat="1" applyFont="1" applyBorder="1" applyAlignment="1">
      <alignment horizontal="right" vertical="center" shrinkToFit="1"/>
    </xf>
    <xf numFmtId="0" fontId="16" fillId="0" borderId="1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1" fontId="13" fillId="0" borderId="0" xfId="0" applyNumberFormat="1" applyFont="1" applyAlignment="1">
      <alignment horizontal="left" vertical="top"/>
    </xf>
    <xf numFmtId="0" fontId="18" fillId="3" borderId="0" xfId="0" applyFont="1" applyFill="1"/>
    <xf numFmtId="1" fontId="18" fillId="3" borderId="0" xfId="0" applyNumberFormat="1" applyFont="1" applyFill="1"/>
    <xf numFmtId="0" fontId="19" fillId="0" borderId="5" xfId="0" applyFont="1" applyBorder="1"/>
    <xf numFmtId="0" fontId="19" fillId="0" borderId="6" xfId="0" applyFont="1" applyBorder="1"/>
    <xf numFmtId="0" fontId="19" fillId="0" borderId="7" xfId="0" applyFont="1" applyBorder="1"/>
    <xf numFmtId="0" fontId="18" fillId="0" borderId="8" xfId="0" applyFont="1" applyBorder="1"/>
    <xf numFmtId="0" fontId="18" fillId="0" borderId="0" xfId="0" applyFont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4" borderId="0" xfId="1" applyNumberFormat="1" applyFont="1" applyFill="1" applyBorder="1" applyAlignment="1">
      <alignment horizontal="center"/>
    </xf>
    <xf numFmtId="0" fontId="18" fillId="4" borderId="0" xfId="1" quotePrefix="1" applyNumberFormat="1" applyFont="1" applyFill="1" applyBorder="1" applyAlignment="1">
      <alignment horizontal="center"/>
    </xf>
    <xf numFmtId="0" fontId="18" fillId="4" borderId="9" xfId="1" quotePrefix="1" applyNumberFormat="1" applyFont="1" applyFill="1" applyBorder="1" applyAlignment="1">
      <alignment horizontal="center"/>
    </xf>
    <xf numFmtId="0" fontId="18" fillId="4" borderId="10" xfId="1" applyNumberFormat="1" applyFont="1" applyFill="1" applyBorder="1" applyAlignment="1">
      <alignment horizontal="center"/>
    </xf>
    <xf numFmtId="0" fontId="18" fillId="4" borderId="11" xfId="1" quotePrefix="1" applyNumberFormat="1" applyFont="1" applyFill="1" applyBorder="1" applyAlignment="1">
      <alignment horizontal="center"/>
    </xf>
    <xf numFmtId="0" fontId="18" fillId="4" borderId="12" xfId="1" quotePrefix="1" applyNumberFormat="1" applyFont="1" applyFill="1" applyBorder="1" applyAlignment="1">
      <alignment horizontal="center"/>
    </xf>
    <xf numFmtId="0" fontId="20" fillId="5" borderId="13" xfId="0" applyFont="1" applyFill="1" applyBorder="1"/>
    <xf numFmtId="0" fontId="18" fillId="0" borderId="14" xfId="0" applyFont="1" applyBorder="1"/>
    <xf numFmtId="0" fontId="18" fillId="0" borderId="15" xfId="0" applyFont="1" applyBorder="1"/>
    <xf numFmtId="9" fontId="13" fillId="0" borderId="0" xfId="1" applyFont="1" applyAlignment="1">
      <alignment horizontal="left" vertical="top"/>
    </xf>
    <xf numFmtId="1" fontId="13" fillId="0" borderId="0" xfId="0" applyNumberFormat="1" applyFont="1" applyAlignment="1">
      <alignment horizontal="right" vertical="center"/>
    </xf>
    <xf numFmtId="0" fontId="13" fillId="0" borderId="16" xfId="0" applyFont="1" applyBorder="1" applyAlignment="1">
      <alignment horizontal="left" vertical="top"/>
    </xf>
    <xf numFmtId="0" fontId="13" fillId="0" borderId="16" xfId="0" applyFont="1" applyBorder="1" applyAlignment="1">
      <alignment horizontal="right"/>
    </xf>
    <xf numFmtId="0" fontId="13" fillId="0" borderId="16" xfId="0" applyFont="1" applyBorder="1" applyAlignment="1">
      <alignment horizontal="right" vertical="center"/>
    </xf>
    <xf numFmtId="0" fontId="13" fillId="0" borderId="0" xfId="0" quotePrefix="1" applyFont="1" applyAlignment="1">
      <alignment horizontal="left" vertical="top"/>
    </xf>
    <xf numFmtId="166" fontId="13" fillId="0" borderId="0" xfId="0" applyNumberFormat="1" applyFont="1" applyAlignment="1">
      <alignment horizontal="right" vertical="top"/>
    </xf>
    <xf numFmtId="43" fontId="17" fillId="2" borderId="4" xfId="2" applyFont="1" applyFill="1" applyBorder="1" applyAlignment="1">
      <alignment horizontal="right" vertical="top"/>
    </xf>
    <xf numFmtId="43" fontId="13" fillId="0" borderId="0" xfId="2" applyFont="1" applyAlignment="1">
      <alignment horizontal="right" vertical="top"/>
    </xf>
    <xf numFmtId="43" fontId="17" fillId="2" borderId="17" xfId="2" applyFont="1" applyFill="1" applyBorder="1" applyAlignment="1">
      <alignment horizontal="right" vertical="top"/>
    </xf>
    <xf numFmtId="0" fontId="21" fillId="0" borderId="16" xfId="0" applyFont="1" applyBorder="1" applyAlignment="1">
      <alignment horizontal="left" vertical="top"/>
    </xf>
    <xf numFmtId="43" fontId="21" fillId="0" borderId="16" xfId="2" applyFont="1" applyBorder="1" applyAlignment="1">
      <alignment horizontal="right" vertical="top"/>
    </xf>
    <xf numFmtId="0" fontId="21" fillId="0" borderId="0" xfId="0" applyFont="1" applyAlignment="1">
      <alignment horizontal="left" vertical="top"/>
    </xf>
    <xf numFmtId="43" fontId="22" fillId="2" borderId="4" xfId="2" applyFont="1" applyFill="1" applyBorder="1" applyAlignment="1">
      <alignment horizontal="right" vertical="top"/>
    </xf>
    <xf numFmtId="165" fontId="17" fillId="2" borderId="4" xfId="3" applyNumberFormat="1" applyFont="1" applyAlignment="1">
      <alignment horizontal="right" vertical="top"/>
    </xf>
    <xf numFmtId="167" fontId="17" fillId="2" borderId="4" xfId="3" applyNumberFormat="1" applyFont="1" applyAlignment="1">
      <alignment horizontal="right" vertical="top"/>
    </xf>
    <xf numFmtId="43" fontId="13" fillId="0" borderId="0" xfId="0" applyNumberFormat="1" applyFont="1" applyAlignment="1">
      <alignment horizontal="right" vertical="top"/>
    </xf>
    <xf numFmtId="0" fontId="13" fillId="0" borderId="18" xfId="0" applyFont="1" applyBorder="1" applyAlignment="1">
      <alignment horizontal="left" vertical="top"/>
    </xf>
    <xf numFmtId="43" fontId="13" fillId="0" borderId="18" xfId="0" applyNumberFormat="1" applyFont="1" applyBorder="1" applyAlignment="1">
      <alignment horizontal="right" vertical="top"/>
    </xf>
    <xf numFmtId="43" fontId="13" fillId="0" borderId="16" xfId="0" applyNumberFormat="1" applyFont="1" applyBorder="1" applyAlignment="1">
      <alignment horizontal="right" vertical="top"/>
    </xf>
    <xf numFmtId="168" fontId="13" fillId="0" borderId="0" xfId="0" applyNumberFormat="1" applyFont="1" applyAlignment="1">
      <alignment horizontal="right" vertical="top"/>
    </xf>
    <xf numFmtId="169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13" fillId="0" borderId="2" xfId="0" applyFont="1" applyBorder="1"/>
    <xf numFmtId="0" fontId="16" fillId="0" borderId="1" xfId="0" applyFont="1" applyBorder="1" applyAlignment="1">
      <alignment horizontal="left" vertical="top"/>
    </xf>
    <xf numFmtId="0" fontId="16" fillId="0" borderId="2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3" xfId="0" applyFont="1" applyBorder="1" applyAlignment="1">
      <alignment horizontal="left" vertical="top"/>
    </xf>
    <xf numFmtId="170" fontId="13" fillId="0" borderId="0" xfId="2" applyNumberFormat="1" applyFont="1" applyAlignment="1">
      <alignment horizontal="right" vertical="top"/>
    </xf>
    <xf numFmtId="170" fontId="13" fillId="0" borderId="0" xfId="0" applyNumberFormat="1" applyFont="1" applyAlignment="1">
      <alignment horizontal="left" vertical="top"/>
    </xf>
    <xf numFmtId="170" fontId="13" fillId="0" borderId="0" xfId="2" applyNumberFormat="1" applyFont="1" applyAlignment="1">
      <alignment horizontal="center" vertical="top"/>
    </xf>
    <xf numFmtId="170" fontId="13" fillId="0" borderId="0" xfId="0" applyNumberFormat="1" applyFont="1" applyAlignment="1">
      <alignment horizontal="center" vertical="top"/>
    </xf>
    <xf numFmtId="170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top"/>
    </xf>
    <xf numFmtId="1" fontId="17" fillId="2" borderId="4" xfId="2" applyNumberFormat="1" applyFont="1" applyFill="1" applyBorder="1" applyAlignment="1">
      <alignment horizontal="center" vertical="top"/>
    </xf>
    <xf numFmtId="164" fontId="17" fillId="2" borderId="4" xfId="2" applyNumberFormat="1" applyFont="1" applyFill="1" applyBorder="1" applyAlignment="1">
      <alignment horizontal="center" vertical="top"/>
    </xf>
    <xf numFmtId="164" fontId="13" fillId="0" borderId="0" xfId="0" applyNumberFormat="1" applyFont="1" applyAlignment="1">
      <alignment horizontal="center" vertical="top"/>
    </xf>
    <xf numFmtId="0" fontId="13" fillId="4" borderId="0" xfId="0" applyFont="1" applyFill="1" applyAlignment="1">
      <alignment horizontal="center" vertical="top"/>
    </xf>
    <xf numFmtId="0" fontId="13" fillId="4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left" vertical="top"/>
    </xf>
    <xf numFmtId="167" fontId="13" fillId="6" borderId="0" xfId="0" applyNumberFormat="1" applyFont="1" applyFill="1" applyAlignment="1">
      <alignment horizontal="right" vertical="top"/>
    </xf>
    <xf numFmtId="1" fontId="13" fillId="0" borderId="0" xfId="0" applyNumberFormat="1" applyFont="1" applyAlignment="1">
      <alignment horizontal="right" vertical="center" shrinkToFit="1"/>
    </xf>
    <xf numFmtId="2" fontId="13" fillId="0" borderId="0" xfId="0" applyNumberFormat="1" applyFont="1" applyAlignment="1">
      <alignment horizontal="right" vertical="top"/>
    </xf>
    <xf numFmtId="171" fontId="21" fillId="0" borderId="16" xfId="1" applyNumberFormat="1" applyFont="1" applyBorder="1" applyAlignment="1">
      <alignment horizontal="right" vertical="top"/>
    </xf>
    <xf numFmtId="43" fontId="13" fillId="0" borderId="0" xfId="0" applyNumberFormat="1" applyFont="1" applyAlignment="1">
      <alignment horizontal="left" vertical="top"/>
    </xf>
    <xf numFmtId="43" fontId="13" fillId="0" borderId="0" xfId="2" applyFont="1" applyAlignment="1">
      <alignment horizontal="center" vertical="top"/>
    </xf>
    <xf numFmtId="9" fontId="13" fillId="0" borderId="18" xfId="1" applyFont="1" applyBorder="1" applyAlignment="1">
      <alignment horizontal="center" vertical="top"/>
    </xf>
    <xf numFmtId="171" fontId="21" fillId="0" borderId="16" xfId="1" applyNumberFormat="1" applyFont="1" applyBorder="1" applyAlignment="1">
      <alignment horizontal="center" vertical="top"/>
    </xf>
    <xf numFmtId="0" fontId="21" fillId="0" borderId="16" xfId="0" applyFont="1" applyBorder="1" applyAlignment="1">
      <alignment horizontal="center" vertical="top"/>
    </xf>
    <xf numFmtId="0" fontId="13" fillId="0" borderId="19" xfId="0" applyFont="1" applyBorder="1" applyAlignment="1">
      <alignment horizontal="left" vertical="top"/>
    </xf>
    <xf numFmtId="172" fontId="21" fillId="0" borderId="19" xfId="0" quotePrefix="1" applyNumberFormat="1" applyFont="1" applyBorder="1" applyAlignment="1">
      <alignment horizontal="center" vertical="top"/>
    </xf>
    <xf numFmtId="172" fontId="21" fillId="0" borderId="19" xfId="0" applyNumberFormat="1" applyFont="1" applyBorder="1" applyAlignment="1">
      <alignment horizontal="center" vertical="top"/>
    </xf>
    <xf numFmtId="0" fontId="13" fillId="4" borderId="0" xfId="0" applyFont="1" applyFill="1" applyAlignment="1">
      <alignment horizontal="left" vertical="top"/>
    </xf>
    <xf numFmtId="43" fontId="13" fillId="0" borderId="0" xfId="2" applyFont="1" applyFill="1" applyAlignment="1">
      <alignment horizontal="right" vertical="top"/>
    </xf>
    <xf numFmtId="170" fontId="13" fillId="0" borderId="0" xfId="0" applyNumberFormat="1" applyFont="1" applyAlignment="1">
      <alignment horizontal="right" vertical="top"/>
    </xf>
    <xf numFmtId="0" fontId="13" fillId="7" borderId="0" xfId="0" applyFont="1" applyFill="1" applyAlignment="1">
      <alignment horizontal="left" vertical="top"/>
    </xf>
    <xf numFmtId="167" fontId="13" fillId="7" borderId="0" xfId="0" applyNumberFormat="1" applyFont="1" applyFill="1" applyAlignment="1">
      <alignment horizontal="right" vertical="top"/>
    </xf>
    <xf numFmtId="43" fontId="13" fillId="6" borderId="0" xfId="2" applyFont="1" applyFill="1" applyAlignment="1">
      <alignment horizontal="right" vertical="top"/>
    </xf>
    <xf numFmtId="43" fontId="13" fillId="6" borderId="0" xfId="0" applyNumberFormat="1" applyFont="1" applyFill="1" applyAlignment="1">
      <alignment horizontal="right" vertical="top"/>
    </xf>
    <xf numFmtId="9" fontId="13" fillId="0" borderId="0" xfId="0" applyNumberFormat="1" applyFont="1" applyAlignment="1">
      <alignment horizontal="left" vertical="top"/>
    </xf>
    <xf numFmtId="0" fontId="15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 indent="3"/>
    </xf>
    <xf numFmtId="43" fontId="21" fillId="0" borderId="16" xfId="0" applyNumberFormat="1" applyFont="1" applyBorder="1" applyAlignment="1">
      <alignment horizontal="right" vertical="top"/>
    </xf>
    <xf numFmtId="43" fontId="13" fillId="0" borderId="0" xfId="2" applyFont="1" applyAlignment="1">
      <alignment horizontal="right" vertical="center"/>
    </xf>
    <xf numFmtId="43" fontId="13" fillId="0" borderId="0" xfId="0" applyNumberFormat="1" applyFont="1" applyAlignment="1">
      <alignment horizontal="right" vertical="center"/>
    </xf>
    <xf numFmtId="2" fontId="13" fillId="0" borderId="0" xfId="0" applyNumberFormat="1" applyFont="1" applyAlignment="1">
      <alignment horizontal="right" vertical="center"/>
    </xf>
  </cellXfs>
  <cellStyles count="4">
    <cellStyle name="Comma" xfId="2" builtinId="3"/>
    <cellStyle name="Input" xfId="3" builtinId="20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88CA-36ED-4E51-B9D1-52FFFE57DF26}">
  <dimension ref="B2:AF92"/>
  <sheetViews>
    <sheetView topLeftCell="A27" zoomScaleNormal="100" workbookViewId="0">
      <selection activeCell="E44" sqref="E44"/>
    </sheetView>
  </sheetViews>
  <sheetFormatPr defaultRowHeight="12.75" x14ac:dyDescent="0.2"/>
  <cols>
    <col min="1" max="1" width="8.83203125" style="32" customWidth="1"/>
    <col min="2" max="2" width="63.83203125" style="32" bestFit="1" customWidth="1"/>
    <col min="3" max="3" width="11.33203125" style="36" bestFit="1" customWidth="1"/>
    <col min="4" max="4" width="8.33203125" style="32" customWidth="1"/>
    <col min="5" max="5" width="9.33203125" style="32"/>
    <col min="6" max="6" width="9.33203125" style="33"/>
    <col min="7" max="7" width="11.33203125" style="33" bestFit="1" customWidth="1"/>
    <col min="8" max="8" width="9.33203125" style="33"/>
    <col min="9" max="9" width="13" style="32" customWidth="1"/>
    <col min="10" max="10" width="11" style="32" customWidth="1"/>
    <col min="11" max="11" width="5.83203125" style="32" bestFit="1" customWidth="1"/>
    <col min="12" max="12" width="8.6640625" style="32" customWidth="1"/>
    <col min="13" max="16384" width="9.33203125" style="32"/>
  </cols>
  <sheetData>
    <row r="2" spans="2:20" x14ac:dyDescent="0.2">
      <c r="B2" s="32" t="s">
        <v>161</v>
      </c>
    </row>
    <row r="3" spans="2:20" x14ac:dyDescent="0.2">
      <c r="I3" s="34"/>
      <c r="J3" s="35"/>
      <c r="L3" s="36"/>
    </row>
    <row r="4" spans="2:20" x14ac:dyDescent="0.2">
      <c r="I4" s="34"/>
      <c r="J4" s="35"/>
      <c r="L4" s="36"/>
    </row>
    <row r="6" spans="2:20" x14ac:dyDescent="0.2">
      <c r="B6" s="76" t="s">
        <v>147</v>
      </c>
      <c r="C6" s="78">
        <v>5</v>
      </c>
    </row>
    <row r="7" spans="2:20" x14ac:dyDescent="0.2">
      <c r="M7" s="32" t="s">
        <v>162</v>
      </c>
      <c r="N7" s="32" t="s">
        <v>163</v>
      </c>
    </row>
    <row r="8" spans="2:20" x14ac:dyDescent="0.2">
      <c r="B8" s="76" t="s">
        <v>150</v>
      </c>
      <c r="C8" s="79">
        <v>280</v>
      </c>
      <c r="M8" s="32" t="s">
        <v>164</v>
      </c>
      <c r="N8" s="32" t="s">
        <v>165</v>
      </c>
    </row>
    <row r="9" spans="2:20" x14ac:dyDescent="0.2">
      <c r="M9" s="32" t="s">
        <v>166</v>
      </c>
      <c r="N9" s="32" t="s">
        <v>167</v>
      </c>
    </row>
    <row r="10" spans="2:20" x14ac:dyDescent="0.2">
      <c r="B10" s="76" t="s">
        <v>194</v>
      </c>
      <c r="C10" s="77">
        <v>25</v>
      </c>
      <c r="N10" s="32" t="s">
        <v>168</v>
      </c>
    </row>
    <row r="12" spans="2:20" x14ac:dyDescent="0.2">
      <c r="B12" s="76" t="s">
        <v>239</v>
      </c>
      <c r="C12" s="77">
        <v>1.5</v>
      </c>
      <c r="D12" s="32" t="s">
        <v>170</v>
      </c>
      <c r="M12" s="36" t="s">
        <v>54</v>
      </c>
      <c r="N12" s="36" t="s">
        <v>55</v>
      </c>
      <c r="O12" s="36" t="s">
        <v>56</v>
      </c>
      <c r="P12" s="36" t="s">
        <v>57</v>
      </c>
      <c r="Q12" s="36" t="s">
        <v>58</v>
      </c>
      <c r="R12" s="36" t="s">
        <v>59</v>
      </c>
      <c r="S12" s="36" t="s">
        <v>60</v>
      </c>
      <c r="T12" s="36" t="s">
        <v>61</v>
      </c>
    </row>
    <row r="13" spans="2:20" x14ac:dyDescent="0.2">
      <c r="C13" s="72"/>
      <c r="M13" s="41">
        <v>1</v>
      </c>
      <c r="N13" s="41">
        <v>3</v>
      </c>
      <c r="O13" s="41">
        <v>6</v>
      </c>
      <c r="P13" s="41">
        <v>9</v>
      </c>
      <c r="Q13" s="41">
        <v>12</v>
      </c>
      <c r="R13" s="41">
        <v>15</v>
      </c>
      <c r="S13" s="41">
        <v>18</v>
      </c>
      <c r="T13" s="41">
        <v>20</v>
      </c>
    </row>
    <row r="14" spans="2:20" x14ac:dyDescent="0.2">
      <c r="B14" s="32" t="s">
        <v>196</v>
      </c>
      <c r="C14" s="71">
        <v>2</v>
      </c>
    </row>
    <row r="15" spans="2:20" x14ac:dyDescent="0.2">
      <c r="B15" s="69" t="s">
        <v>197</v>
      </c>
      <c r="C15" s="71">
        <v>5</v>
      </c>
      <c r="M15" s="37" t="s">
        <v>171</v>
      </c>
      <c r="N15" s="88"/>
    </row>
    <row r="16" spans="2:20" x14ac:dyDescent="0.2">
      <c r="B16" s="69" t="s">
        <v>198</v>
      </c>
      <c r="C16" s="73">
        <v>1</v>
      </c>
      <c r="L16" s="46"/>
      <c r="M16" s="40" t="s">
        <v>192</v>
      </c>
      <c r="N16" s="40" t="s">
        <v>193</v>
      </c>
      <c r="R16" s="32" t="s">
        <v>105</v>
      </c>
      <c r="S16" s="32" t="s">
        <v>106</v>
      </c>
    </row>
    <row r="17" spans="2:19" x14ac:dyDescent="0.2">
      <c r="B17" s="74" t="s">
        <v>195</v>
      </c>
      <c r="C17" s="75">
        <f>SUM(C14:C16)</f>
        <v>8</v>
      </c>
      <c r="M17" s="89" t="s">
        <v>54</v>
      </c>
      <c r="N17" s="89" t="s">
        <v>172</v>
      </c>
      <c r="R17" s="32" t="s">
        <v>54</v>
      </c>
      <c r="S17" s="32" t="s">
        <v>107</v>
      </c>
    </row>
    <row r="18" spans="2:19" x14ac:dyDescent="0.2">
      <c r="C18" s="72"/>
      <c r="M18" s="90" t="s">
        <v>108</v>
      </c>
      <c r="N18" s="90" t="s">
        <v>173</v>
      </c>
      <c r="O18" s="32">
        <v>1.5</v>
      </c>
      <c r="R18" s="32" t="s">
        <v>108</v>
      </c>
      <c r="S18" s="32" t="s">
        <v>109</v>
      </c>
    </row>
    <row r="19" spans="2:19" x14ac:dyDescent="0.2">
      <c r="B19" s="32" t="s">
        <v>199</v>
      </c>
      <c r="C19" s="71">
        <v>1</v>
      </c>
      <c r="M19" s="91" t="s">
        <v>110</v>
      </c>
      <c r="N19" s="91" t="s">
        <v>174</v>
      </c>
      <c r="O19" s="32">
        <v>2.5</v>
      </c>
      <c r="R19" s="32" t="s">
        <v>110</v>
      </c>
      <c r="S19" s="32" t="s">
        <v>111</v>
      </c>
    </row>
    <row r="20" spans="2:19" x14ac:dyDescent="0.2">
      <c r="B20" s="69" t="s">
        <v>201</v>
      </c>
      <c r="C20" s="71">
        <v>1</v>
      </c>
      <c r="M20" s="92" t="s">
        <v>112</v>
      </c>
      <c r="N20" s="92" t="s">
        <v>175</v>
      </c>
      <c r="O20" s="32">
        <f>O19+1</f>
        <v>3.5</v>
      </c>
      <c r="R20" s="32" t="s">
        <v>112</v>
      </c>
      <c r="S20" s="32" t="s">
        <v>113</v>
      </c>
    </row>
    <row r="21" spans="2:19" x14ac:dyDescent="0.2">
      <c r="B21" s="69" t="s">
        <v>202</v>
      </c>
      <c r="C21" s="71">
        <v>5</v>
      </c>
      <c r="M21" s="90" t="s">
        <v>114</v>
      </c>
      <c r="N21" s="90" t="s">
        <v>176</v>
      </c>
      <c r="O21" s="32">
        <f t="shared" ref="O21:O36" si="0">O20+1</f>
        <v>4.5</v>
      </c>
      <c r="R21" s="32" t="s">
        <v>114</v>
      </c>
      <c r="S21" s="32" t="s">
        <v>115</v>
      </c>
    </row>
    <row r="22" spans="2:19" x14ac:dyDescent="0.2">
      <c r="B22" s="32" t="s">
        <v>200</v>
      </c>
      <c r="C22" s="73">
        <v>10</v>
      </c>
      <c r="M22" s="91" t="s">
        <v>116</v>
      </c>
      <c r="N22" s="91" t="s">
        <v>177</v>
      </c>
      <c r="O22" s="32">
        <f t="shared" si="0"/>
        <v>5.5</v>
      </c>
      <c r="R22" s="32" t="s">
        <v>116</v>
      </c>
      <c r="S22" s="32" t="s">
        <v>56</v>
      </c>
    </row>
    <row r="23" spans="2:19" x14ac:dyDescent="0.2">
      <c r="B23" s="74" t="s">
        <v>203</v>
      </c>
      <c r="C23" s="75">
        <f>SUM(C19:C22)</f>
        <v>17</v>
      </c>
      <c r="M23" s="92" t="s">
        <v>117</v>
      </c>
      <c r="N23" s="92" t="s">
        <v>178</v>
      </c>
      <c r="O23" s="32">
        <f t="shared" si="0"/>
        <v>6.5</v>
      </c>
      <c r="R23" s="32" t="s">
        <v>117</v>
      </c>
      <c r="S23" s="32" t="s">
        <v>70</v>
      </c>
    </row>
    <row r="24" spans="2:19" x14ac:dyDescent="0.2">
      <c r="C24" s="32"/>
      <c r="M24" s="90" t="s">
        <v>118</v>
      </c>
      <c r="N24" s="90" t="s">
        <v>179</v>
      </c>
      <c r="O24" s="32">
        <f t="shared" si="0"/>
        <v>7.5</v>
      </c>
      <c r="R24" s="32" t="s">
        <v>118</v>
      </c>
      <c r="S24" s="32" t="s">
        <v>71</v>
      </c>
    </row>
    <row r="25" spans="2:19" x14ac:dyDescent="0.2">
      <c r="M25" s="91" t="s">
        <v>119</v>
      </c>
      <c r="N25" s="91" t="s">
        <v>180</v>
      </c>
      <c r="O25" s="32">
        <f t="shared" si="0"/>
        <v>8.5</v>
      </c>
      <c r="R25" s="32" t="s">
        <v>119</v>
      </c>
      <c r="S25" s="32" t="s">
        <v>72</v>
      </c>
    </row>
    <row r="26" spans="2:19" x14ac:dyDescent="0.2">
      <c r="B26" s="32" t="s">
        <v>203</v>
      </c>
      <c r="C26" s="80">
        <f>C23</f>
        <v>17</v>
      </c>
      <c r="M26" s="92" t="s">
        <v>120</v>
      </c>
      <c r="N26" s="92" t="s">
        <v>181</v>
      </c>
      <c r="O26" s="32">
        <f t="shared" si="0"/>
        <v>9.5</v>
      </c>
      <c r="R26" s="32" t="s">
        <v>120</v>
      </c>
      <c r="S26" s="32" t="s">
        <v>73</v>
      </c>
    </row>
    <row r="27" spans="2:19" x14ac:dyDescent="0.2">
      <c r="B27" s="32" t="s">
        <v>206</v>
      </c>
      <c r="C27" s="71">
        <v>1</v>
      </c>
      <c r="M27" s="90" t="s">
        <v>121</v>
      </c>
      <c r="N27" s="90" t="s">
        <v>182</v>
      </c>
      <c r="O27" s="32">
        <f t="shared" si="0"/>
        <v>10.5</v>
      </c>
      <c r="R27" s="32" t="s">
        <v>121</v>
      </c>
      <c r="S27" s="32" t="s">
        <v>74</v>
      </c>
    </row>
    <row r="28" spans="2:19" x14ac:dyDescent="0.2">
      <c r="B28" s="32" t="s">
        <v>207</v>
      </c>
      <c r="C28" s="71">
        <v>0</v>
      </c>
      <c r="M28" s="91" t="s">
        <v>122</v>
      </c>
      <c r="N28" s="91" t="s">
        <v>183</v>
      </c>
      <c r="O28" s="32">
        <f t="shared" si="0"/>
        <v>11.5</v>
      </c>
      <c r="R28" s="32" t="s">
        <v>122</v>
      </c>
      <c r="S28" s="32" t="s">
        <v>123</v>
      </c>
    </row>
    <row r="29" spans="2:19" x14ac:dyDescent="0.2">
      <c r="B29" s="74" t="s">
        <v>208</v>
      </c>
      <c r="C29" s="75">
        <f>C26-SUM(C27:C28)</f>
        <v>16</v>
      </c>
      <c r="M29" s="92" t="s">
        <v>124</v>
      </c>
      <c r="N29" s="92" t="s">
        <v>184</v>
      </c>
      <c r="O29" s="32">
        <f t="shared" si="0"/>
        <v>12.5</v>
      </c>
      <c r="R29" s="32" t="s">
        <v>124</v>
      </c>
      <c r="S29" s="32" t="s">
        <v>125</v>
      </c>
    </row>
    <row r="30" spans="2:19" x14ac:dyDescent="0.2">
      <c r="C30" s="72"/>
      <c r="M30" s="90" t="s">
        <v>42</v>
      </c>
      <c r="N30" s="90" t="s">
        <v>185</v>
      </c>
      <c r="O30" s="32">
        <f t="shared" si="0"/>
        <v>13.5</v>
      </c>
      <c r="R30" s="32" t="s">
        <v>42</v>
      </c>
      <c r="S30" s="32" t="s">
        <v>126</v>
      </c>
    </row>
    <row r="31" spans="2:19" x14ac:dyDescent="0.2">
      <c r="B31" s="32" t="s">
        <v>196</v>
      </c>
      <c r="C31" s="80">
        <f>C14</f>
        <v>2</v>
      </c>
      <c r="M31" s="91" t="s">
        <v>127</v>
      </c>
      <c r="N31" s="91" t="s">
        <v>186</v>
      </c>
      <c r="O31" s="32">
        <f t="shared" si="0"/>
        <v>14.5</v>
      </c>
      <c r="R31" s="32" t="s">
        <v>127</v>
      </c>
      <c r="S31" s="32" t="s">
        <v>59</v>
      </c>
    </row>
    <row r="32" spans="2:19" x14ac:dyDescent="0.2">
      <c r="B32" s="69" t="s">
        <v>198</v>
      </c>
      <c r="C32" s="80">
        <f>C16</f>
        <v>1</v>
      </c>
      <c r="M32" s="92" t="s">
        <v>128</v>
      </c>
      <c r="N32" s="92" t="s">
        <v>187</v>
      </c>
      <c r="O32" s="32">
        <f t="shared" si="0"/>
        <v>15.5</v>
      </c>
      <c r="R32" s="32" t="s">
        <v>128</v>
      </c>
      <c r="S32" s="32" t="s">
        <v>129</v>
      </c>
    </row>
    <row r="33" spans="2:32" x14ac:dyDescent="0.2">
      <c r="B33" s="74" t="s">
        <v>204</v>
      </c>
      <c r="C33" s="75">
        <f>SUM(C31:C32)</f>
        <v>3</v>
      </c>
      <c r="M33" s="90" t="s">
        <v>130</v>
      </c>
      <c r="N33" s="90" t="s">
        <v>188</v>
      </c>
      <c r="O33" s="32">
        <f t="shared" si="0"/>
        <v>16.5</v>
      </c>
      <c r="R33" s="32" t="s">
        <v>130</v>
      </c>
      <c r="S33" s="32" t="s">
        <v>131</v>
      </c>
    </row>
    <row r="34" spans="2:32" x14ac:dyDescent="0.2">
      <c r="M34" s="91" t="s">
        <v>132</v>
      </c>
      <c r="N34" s="91" t="s">
        <v>189</v>
      </c>
      <c r="O34" s="32">
        <f t="shared" si="0"/>
        <v>17.5</v>
      </c>
      <c r="R34" s="32" t="s">
        <v>132</v>
      </c>
      <c r="S34" s="32" t="s">
        <v>133</v>
      </c>
    </row>
    <row r="35" spans="2:32" x14ac:dyDescent="0.2">
      <c r="B35" s="76" t="s">
        <v>212</v>
      </c>
      <c r="C35" s="77">
        <v>15</v>
      </c>
      <c r="D35" s="32" t="s">
        <v>213</v>
      </c>
      <c r="M35" s="92" t="s">
        <v>134</v>
      </c>
      <c r="N35" s="92" t="s">
        <v>190</v>
      </c>
      <c r="O35" s="32">
        <f t="shared" si="0"/>
        <v>18.5</v>
      </c>
      <c r="R35" s="32" t="s">
        <v>134</v>
      </c>
      <c r="S35" s="32" t="s">
        <v>135</v>
      </c>
    </row>
    <row r="36" spans="2:32" x14ac:dyDescent="0.2">
      <c r="M36" s="89" t="s">
        <v>61</v>
      </c>
      <c r="N36" s="89" t="s">
        <v>191</v>
      </c>
      <c r="O36" s="32">
        <f t="shared" si="0"/>
        <v>19.5</v>
      </c>
      <c r="R36" s="32" t="s">
        <v>61</v>
      </c>
      <c r="S36" s="32" t="s">
        <v>136</v>
      </c>
    </row>
    <row r="37" spans="2:32" x14ac:dyDescent="0.2">
      <c r="B37" s="32" t="str">
        <f>B35</f>
        <v>Cash Flow From Operations (CFO)</v>
      </c>
      <c r="C37" s="80">
        <f>C35</f>
        <v>15</v>
      </c>
    </row>
    <row r="38" spans="2:32" x14ac:dyDescent="0.2">
      <c r="B38" s="32" t="s">
        <v>216</v>
      </c>
      <c r="C38" s="71">
        <v>5</v>
      </c>
      <c r="M38" s="47"/>
      <c r="N38" s="48"/>
      <c r="O38" s="48"/>
      <c r="P38" s="48"/>
      <c r="Q38" s="47"/>
      <c r="R38" s="47"/>
    </row>
    <row r="39" spans="2:32" x14ac:dyDescent="0.2">
      <c r="B39" s="32" t="s">
        <v>215</v>
      </c>
      <c r="C39" s="73">
        <v>6</v>
      </c>
    </row>
    <row r="40" spans="2:32" ht="13.5" thickBot="1" x14ac:dyDescent="0.25">
      <c r="B40" s="81" t="s">
        <v>217</v>
      </c>
      <c r="C40" s="82">
        <f>C39-C38</f>
        <v>1</v>
      </c>
      <c r="M40" s="86"/>
      <c r="N40" s="100">
        <v>10</v>
      </c>
      <c r="O40" s="100">
        <v>10</v>
      </c>
      <c r="P40" s="101">
        <f>O40</f>
        <v>10</v>
      </c>
      <c r="Q40" s="101">
        <f>O40</f>
        <v>10</v>
      </c>
      <c r="R40" s="99">
        <v>10</v>
      </c>
      <c r="S40" s="98">
        <f>R40</f>
        <v>10</v>
      </c>
      <c r="T40" s="86"/>
      <c r="U40" s="86"/>
      <c r="V40" s="86"/>
      <c r="W40" s="86"/>
      <c r="X40" s="86"/>
      <c r="Y40" s="99">
        <v>20</v>
      </c>
      <c r="Z40" s="86">
        <f>$Y$40</f>
        <v>20</v>
      </c>
      <c r="AA40" s="99">
        <v>30</v>
      </c>
      <c r="AB40" s="98">
        <f>AA40</f>
        <v>30</v>
      </c>
      <c r="AC40" s="98">
        <f>AA40</f>
        <v>30</v>
      </c>
      <c r="AD40" s="99">
        <v>35</v>
      </c>
      <c r="AE40" s="98">
        <f>AD40</f>
        <v>35</v>
      </c>
      <c r="AF40" s="98">
        <f>AD40</f>
        <v>35</v>
      </c>
    </row>
    <row r="41" spans="2:32" ht="13.5" thickTop="1" x14ac:dyDescent="0.2">
      <c r="B41" s="32" t="s">
        <v>218</v>
      </c>
      <c r="C41" s="71">
        <v>50</v>
      </c>
      <c r="M41" s="49" t="s">
        <v>69</v>
      </c>
      <c r="N41" s="50"/>
      <c r="O41" s="50"/>
      <c r="P41" s="50"/>
      <c r="Q41" s="50"/>
      <c r="R41" s="51"/>
    </row>
    <row r="42" spans="2:32" x14ac:dyDescent="0.2">
      <c r="B42" s="32" t="s">
        <v>329</v>
      </c>
      <c r="C42" s="73">
        <v>55</v>
      </c>
      <c r="M42" s="52"/>
      <c r="N42" s="32" t="s">
        <v>107</v>
      </c>
      <c r="O42" s="32" t="s">
        <v>109</v>
      </c>
      <c r="P42" s="32" t="s">
        <v>111</v>
      </c>
      <c r="Q42" s="32" t="s">
        <v>113</v>
      </c>
      <c r="R42" s="32" t="s">
        <v>115</v>
      </c>
      <c r="S42" s="32" t="s">
        <v>56</v>
      </c>
      <c r="T42" s="32" t="s">
        <v>70</v>
      </c>
      <c r="U42" s="32" t="s">
        <v>71</v>
      </c>
      <c r="V42" s="32" t="s">
        <v>72</v>
      </c>
      <c r="W42" s="32" t="s">
        <v>73</v>
      </c>
      <c r="X42" s="32" t="s">
        <v>74</v>
      </c>
      <c r="Y42" s="32" t="s">
        <v>123</v>
      </c>
      <c r="Z42" s="32" t="s">
        <v>125</v>
      </c>
      <c r="AA42" s="32" t="s">
        <v>126</v>
      </c>
      <c r="AB42" s="32" t="s">
        <v>59</v>
      </c>
      <c r="AC42" s="32" t="s">
        <v>129</v>
      </c>
      <c r="AD42" s="32" t="s">
        <v>131</v>
      </c>
      <c r="AE42" s="32" t="s">
        <v>133</v>
      </c>
      <c r="AF42" s="32" t="s">
        <v>135</v>
      </c>
    </row>
    <row r="43" spans="2:32" x14ac:dyDescent="0.2">
      <c r="B43" s="81" t="s">
        <v>220</v>
      </c>
      <c r="C43" s="82">
        <f>C42-C41</f>
        <v>5</v>
      </c>
      <c r="M43" s="39">
        <v>1</v>
      </c>
      <c r="N43" s="46" t="str">
        <f>TEXT(LEFT(O43,FIND("-",O43)-1)-N$40,"0") &amp; " - " &amp;
TEXT(MID(O43,FIND("-",O43)+1,99)-N$40,"0")</f>
        <v>15 - 30</v>
      </c>
      <c r="O43" s="46" t="str">
        <f t="shared" ref="O43:S43" si="1">TEXT(LEFT(P43,FIND("-",P43)-1)-O$40,"0") &amp; " - " &amp;
TEXT(MID(P43,FIND("-",P43)+1,99)-O$40,"0")</f>
        <v>25 - 40</v>
      </c>
      <c r="P43" s="46" t="str">
        <f t="shared" si="1"/>
        <v>35 - 50</v>
      </c>
      <c r="Q43" s="46" t="str">
        <f t="shared" si="1"/>
        <v>45 - 60</v>
      </c>
      <c r="R43" s="46" t="str">
        <f t="shared" si="1"/>
        <v>55 - 70</v>
      </c>
      <c r="S43" s="46" t="str">
        <f t="shared" si="1"/>
        <v>65 - 80</v>
      </c>
      <c r="T43" s="55" t="s">
        <v>76</v>
      </c>
      <c r="U43" s="56" t="s">
        <v>77</v>
      </c>
      <c r="V43" s="56" t="s">
        <v>78</v>
      </c>
      <c r="W43" s="56" t="s">
        <v>79</v>
      </c>
      <c r="X43" s="57" t="s">
        <v>80</v>
      </c>
      <c r="Y43" s="46" t="str">
        <f>TEXT(LEFT(X43,FIND("-",X43)-1)+Y$40,"0") &amp; " - " &amp;
TEXT(MID(X43,FIND("-",X43)+1,99)+Y$40,"0")</f>
        <v>240 - 260</v>
      </c>
      <c r="Z43" s="46" t="str">
        <f t="shared" ref="Z43:AF43" si="2">TEXT(LEFT(Y43,FIND("-",Y43)-1)+Z$40,"0") &amp; " - " &amp;
TEXT(MID(Y43,FIND("-",Y43)+1,99)+Z$40,"0")</f>
        <v>260 - 280</v>
      </c>
      <c r="AA43" s="46" t="str">
        <f t="shared" si="2"/>
        <v>290 - 310</v>
      </c>
      <c r="AB43" s="46" t="str">
        <f t="shared" si="2"/>
        <v>320 - 340</v>
      </c>
      <c r="AC43" s="46" t="str">
        <f t="shared" si="2"/>
        <v>350 - 370</v>
      </c>
      <c r="AD43" s="46" t="str">
        <f t="shared" si="2"/>
        <v>385 - 405</v>
      </c>
      <c r="AE43" s="46" t="str">
        <f t="shared" si="2"/>
        <v>420 - 440</v>
      </c>
      <c r="AF43" s="46" t="str">
        <f t="shared" si="2"/>
        <v>455 - 475</v>
      </c>
    </row>
    <row r="44" spans="2:32" ht="13.5" thickBot="1" x14ac:dyDescent="0.25">
      <c r="B44" s="74" t="s">
        <v>214</v>
      </c>
      <c r="C44" s="128">
        <f>C43+C40+C37</f>
        <v>21</v>
      </c>
      <c r="M44" s="39">
        <v>2</v>
      </c>
      <c r="N44" s="46" t="str">
        <f t="shared" ref="N44:S47" si="3">TEXT(LEFT(O44,FIND("-",O44)-1)-N$40,"0") &amp; " - " &amp;
TEXT(MID(O44,FIND("-",O44)+1,99)-N$40,"0")</f>
        <v>25 - 35</v>
      </c>
      <c r="O44" s="46" t="str">
        <f t="shared" si="3"/>
        <v>35 - 45</v>
      </c>
      <c r="P44" s="46" t="str">
        <f t="shared" si="3"/>
        <v>45 - 55</v>
      </c>
      <c r="Q44" s="46" t="str">
        <f t="shared" si="3"/>
        <v>55 - 65</v>
      </c>
      <c r="R44" s="46" t="str">
        <f t="shared" si="3"/>
        <v>65 - 75</v>
      </c>
      <c r="S44" s="46" t="str">
        <f t="shared" si="3"/>
        <v>75 - 85</v>
      </c>
      <c r="T44" s="56" t="s">
        <v>82</v>
      </c>
      <c r="U44" s="56" t="s">
        <v>83</v>
      </c>
      <c r="V44" s="56" t="s">
        <v>84</v>
      </c>
      <c r="W44" s="56" t="s">
        <v>85</v>
      </c>
      <c r="X44" s="57" t="s">
        <v>86</v>
      </c>
      <c r="Y44" s="46" t="str">
        <f t="shared" ref="Y44:AF47" si="4">TEXT(LEFT(X44,FIND("-",X44)-1)+Y$40,"0") &amp; " - " &amp;
TEXT(MID(X44,FIND("-",X44)+1,99)+Y$40,"0")</f>
        <v>250 - 270</v>
      </c>
      <c r="Z44" s="46" t="str">
        <f t="shared" si="4"/>
        <v>270 - 290</v>
      </c>
      <c r="AA44" s="46" t="str">
        <f t="shared" si="4"/>
        <v>300 - 320</v>
      </c>
      <c r="AB44" s="46" t="str">
        <f t="shared" si="4"/>
        <v>330 - 350</v>
      </c>
      <c r="AC44" s="46" t="str">
        <f t="shared" si="4"/>
        <v>360 - 380</v>
      </c>
      <c r="AD44" s="46" t="str">
        <f t="shared" si="4"/>
        <v>395 - 415</v>
      </c>
      <c r="AE44" s="46" t="str">
        <f t="shared" si="4"/>
        <v>430 - 450</v>
      </c>
      <c r="AF44" s="46" t="str">
        <f t="shared" si="4"/>
        <v>465 - 485</v>
      </c>
    </row>
    <row r="45" spans="2:32" ht="13.5" thickBot="1" x14ac:dyDescent="0.25">
      <c r="C45" s="80"/>
      <c r="M45" s="39">
        <v>3</v>
      </c>
      <c r="N45" s="46" t="str">
        <f t="shared" si="3"/>
        <v>35 - 45</v>
      </c>
      <c r="O45" s="46" t="str">
        <f t="shared" si="3"/>
        <v>45 - 55</v>
      </c>
      <c r="P45" s="46" t="str">
        <f t="shared" si="3"/>
        <v>55 - 65</v>
      </c>
      <c r="Q45" s="46" t="str">
        <f t="shared" si="3"/>
        <v>65 - 75</v>
      </c>
      <c r="R45" s="46" t="str">
        <f t="shared" si="3"/>
        <v>75 - 85</v>
      </c>
      <c r="S45" s="46" t="str">
        <f t="shared" si="3"/>
        <v>85 - 95</v>
      </c>
      <c r="T45" s="58" t="s">
        <v>77</v>
      </c>
      <c r="U45" s="59" t="s">
        <v>88</v>
      </c>
      <c r="V45" s="60" t="s">
        <v>89</v>
      </c>
      <c r="W45" s="56" t="s">
        <v>90</v>
      </c>
      <c r="X45" s="57" t="s">
        <v>91</v>
      </c>
      <c r="Y45" s="46" t="str">
        <f t="shared" si="4"/>
        <v>265 - 285</v>
      </c>
      <c r="Z45" s="46" t="str">
        <f t="shared" si="4"/>
        <v>285 - 305</v>
      </c>
      <c r="AA45" s="46" t="str">
        <f t="shared" si="4"/>
        <v>315 - 335</v>
      </c>
      <c r="AB45" s="46" t="str">
        <f t="shared" si="4"/>
        <v>345 - 365</v>
      </c>
      <c r="AC45" s="46" t="str">
        <f t="shared" si="4"/>
        <v>375 - 395</v>
      </c>
      <c r="AD45" s="46" t="str">
        <f t="shared" si="4"/>
        <v>410 - 430</v>
      </c>
      <c r="AE45" s="46" t="str">
        <f t="shared" si="4"/>
        <v>445 - 465</v>
      </c>
      <c r="AF45" s="46" t="str">
        <f t="shared" si="4"/>
        <v>480 - 500</v>
      </c>
    </row>
    <row r="46" spans="2:32" x14ac:dyDescent="0.2">
      <c r="B46" s="32" t="s">
        <v>214</v>
      </c>
      <c r="C46" s="80">
        <f>C44</f>
        <v>21</v>
      </c>
      <c r="M46" s="39">
        <v>4</v>
      </c>
      <c r="N46" s="46" t="str">
        <f t="shared" si="3"/>
        <v>55 - 65</v>
      </c>
      <c r="O46" s="46" t="str">
        <f t="shared" si="3"/>
        <v>65 - 75</v>
      </c>
      <c r="P46" s="46" t="str">
        <f t="shared" si="3"/>
        <v>75 - 85</v>
      </c>
      <c r="Q46" s="46" t="str">
        <f t="shared" si="3"/>
        <v>85 - 95</v>
      </c>
      <c r="R46" s="46" t="str">
        <f t="shared" si="3"/>
        <v>95 - 105</v>
      </c>
      <c r="S46" s="46" t="str">
        <f t="shared" si="3"/>
        <v>105 - 115</v>
      </c>
      <c r="T46" s="55" t="s">
        <v>93</v>
      </c>
      <c r="U46" s="56" t="s">
        <v>94</v>
      </c>
      <c r="V46" s="56" t="s">
        <v>95</v>
      </c>
      <c r="W46" s="56" t="s">
        <v>96</v>
      </c>
      <c r="X46" s="57" t="s">
        <v>97</v>
      </c>
      <c r="Y46" s="46" t="str">
        <f t="shared" si="4"/>
        <v>285 - 305</v>
      </c>
      <c r="Z46" s="46" t="str">
        <f t="shared" si="4"/>
        <v>305 - 325</v>
      </c>
      <c r="AA46" s="46" t="str">
        <f t="shared" si="4"/>
        <v>335 - 355</v>
      </c>
      <c r="AB46" s="46" t="str">
        <f t="shared" si="4"/>
        <v>365 - 385</v>
      </c>
      <c r="AC46" s="46" t="str">
        <f t="shared" si="4"/>
        <v>395 - 415</v>
      </c>
      <c r="AD46" s="46" t="str">
        <f t="shared" si="4"/>
        <v>430 - 450</v>
      </c>
      <c r="AE46" s="46" t="str">
        <f t="shared" si="4"/>
        <v>465 - 485</v>
      </c>
      <c r="AF46" s="46" t="str">
        <f t="shared" si="4"/>
        <v>500 - 520</v>
      </c>
    </row>
    <row r="47" spans="2:32" x14ac:dyDescent="0.2">
      <c r="B47" s="69" t="s">
        <v>209</v>
      </c>
      <c r="C47" s="71">
        <v>1</v>
      </c>
      <c r="M47" s="39">
        <v>5</v>
      </c>
      <c r="N47" s="46" t="str">
        <f t="shared" si="3"/>
        <v>75 - 85</v>
      </c>
      <c r="O47" s="46" t="str">
        <f t="shared" si="3"/>
        <v>85 - 95</v>
      </c>
      <c r="P47" s="46" t="str">
        <f t="shared" si="3"/>
        <v>95 - 105</v>
      </c>
      <c r="Q47" s="46" t="str">
        <f t="shared" si="3"/>
        <v>105 - 115</v>
      </c>
      <c r="R47" s="46" t="str">
        <f t="shared" si="3"/>
        <v>115 - 125</v>
      </c>
      <c r="S47" s="46" t="str">
        <f t="shared" si="3"/>
        <v>125 - 135</v>
      </c>
      <c r="T47" s="56" t="s">
        <v>99</v>
      </c>
      <c r="U47" s="56" t="s">
        <v>100</v>
      </c>
      <c r="V47" s="56" t="s">
        <v>101</v>
      </c>
      <c r="W47" s="56" t="s">
        <v>102</v>
      </c>
      <c r="X47" s="57" t="s">
        <v>103</v>
      </c>
      <c r="Y47" s="46" t="str">
        <f t="shared" si="4"/>
        <v>305 - 325</v>
      </c>
      <c r="Z47" s="46" t="str">
        <f t="shared" si="4"/>
        <v>325 - 345</v>
      </c>
      <c r="AA47" s="46" t="str">
        <f t="shared" si="4"/>
        <v>355 - 375</v>
      </c>
      <c r="AB47" s="46" t="str">
        <f t="shared" si="4"/>
        <v>385 - 405</v>
      </c>
      <c r="AC47" s="46" t="str">
        <f t="shared" si="4"/>
        <v>415 - 435</v>
      </c>
      <c r="AD47" s="46" t="str">
        <f t="shared" si="4"/>
        <v>450 - 470</v>
      </c>
      <c r="AE47" s="46" t="str">
        <f t="shared" si="4"/>
        <v>485 - 505</v>
      </c>
      <c r="AF47" s="46" t="str">
        <f t="shared" si="4"/>
        <v>520 - 540</v>
      </c>
    </row>
    <row r="48" spans="2:32" ht="13.5" thickBot="1" x14ac:dyDescent="0.25">
      <c r="B48" s="69" t="s">
        <v>210</v>
      </c>
      <c r="C48" s="71">
        <v>0</v>
      </c>
      <c r="M48" s="61" t="s">
        <v>104</v>
      </c>
      <c r="N48" s="62"/>
      <c r="O48" s="62"/>
      <c r="P48" s="62"/>
      <c r="Q48" s="62"/>
      <c r="R48" s="63"/>
    </row>
    <row r="49" spans="2:7" ht="13.5" thickTop="1" x14ac:dyDescent="0.2">
      <c r="B49" s="69" t="s">
        <v>211</v>
      </c>
      <c r="C49" s="73">
        <v>0</v>
      </c>
    </row>
    <row r="50" spans="2:7" x14ac:dyDescent="0.2">
      <c r="B50" s="76" t="s">
        <v>221</v>
      </c>
      <c r="C50" s="75">
        <f>SUM(C46)-SUM(C47:C49)</f>
        <v>20</v>
      </c>
    </row>
    <row r="51" spans="2:7" ht="13.5" customHeight="1" x14ac:dyDescent="0.2">
      <c r="B51" s="32" t="s">
        <v>205</v>
      </c>
    </row>
    <row r="53" spans="2:7" ht="13.5" customHeight="1" x14ac:dyDescent="0.2">
      <c r="F53" s="33" t="s">
        <v>52</v>
      </c>
      <c r="G53" s="33" t="s">
        <v>53</v>
      </c>
    </row>
    <row r="54" spans="2:7" ht="13.5" customHeight="1" x14ac:dyDescent="0.2">
      <c r="B54" s="32" t="s">
        <v>47</v>
      </c>
      <c r="C54" s="84">
        <f>C10/1000</f>
        <v>2.5000000000000001E-2</v>
      </c>
      <c r="D54" s="32" t="str" cm="1">
        <f t="array" ref="D54">_xlfn.LET(
    _xlpm.rngTxt, TRIM(C68:J68),
    _xlpm.val, C54,
    _xlpm.sp, FIND(" ", _xlpm.rngTxt &amp; " "),
    _xlpm.hasSpace, _xlpm.sp &lt;= LEN(_xlpm.rngTxt),
    _xlpm.cols, COLUMN(C68:J68),
    _xlpm.firstCol, MIN(_xlpm.cols),
    _xlpm.lastCol, MAX(_xlpm.cols),
    _xlpm.rawMin, --LEFT(_xlpm.rngTxt, _xlpm.sp-1),
    _xlpm.rawMax, --MID(_xlpm.rngTxt, _xlpm.sp+1, 99),
    _xlpm.lb, IF(_xlpm.hasSpace, _xlpm.rawMin, IF(_xlpm.cols=_xlpm.firstCol, _xlpm.rawMin, -1E+99)),
    _xlpm.ub, IF(_xlpm.hasSpace, _xlpm.rawMax, IF(_xlpm.cols=_xlpm.lastCol, _xlpm.rawMin, 1E+99)),
    _xlpm.idx, MATCH(1, (_xlpm.val&gt;=_xlpm.lb)*(_xlpm.val&lt;_xlpm.ub), 0),
    INDEX($C$67:$J$67, _xlpm.idx)
)</f>
        <v>Ca</v>
      </c>
      <c r="E54" s="64">
        <v>0.2</v>
      </c>
      <c r="F54" s="65">
        <f>IFERROR(INDEX($M$13:$T$13, MATCH(D54, $M$12:$T$12, 0))*(1/SUM($E$54:$E$58)),"")</f>
        <v>28.571428571428569</v>
      </c>
      <c r="G54" s="129"/>
    </row>
    <row r="55" spans="2:7" ht="13.5" customHeight="1" x14ac:dyDescent="0.2">
      <c r="B55" s="32" t="s">
        <v>45</v>
      </c>
      <c r="C55" s="93">
        <f>C33/C10*100</f>
        <v>12</v>
      </c>
      <c r="D55" s="32" t="str" cm="1">
        <f t="array" ref="D55">_xlfn.LET(
    _xlpm.rngTxt, TRIM(C69:J69),
    _xlpm.val, C55,
    _xlpm.sp, FIND(" ", _xlpm.rngTxt &amp; " "),
    _xlpm.hasSpace, _xlpm.sp &lt;= LEN(_xlpm.rngTxt),
    _xlpm.cols, COLUMN(C69:J69),
    _xlpm.firstCol, MIN(_xlpm.cols),
    _xlpm.lastCol, MAX(_xlpm.cols),
    _xlpm.rawMin, --LEFT(_xlpm.rngTxt, _xlpm.sp-1),
    _xlpm.rawMax, --MID(_xlpm.rngTxt, _xlpm.sp+1, 99),
    _xlpm.lb, IF(_xlpm.hasSpace, _xlpm.rawMin, IF(_xlpm.cols=_xlpm.firstCol, _xlpm.rawMin, -1E+99)),
    _xlpm.ub, IF(_xlpm.hasSpace, _xlpm.rawMax, IF(_xlpm.cols=_xlpm.lastCol, _xlpm.rawMin, 1E+99)),
    _xlpm.idx, MATCH(1, (_xlpm.val&gt;=_xlpm.lb)*(_xlpm.val&lt;_xlpm.ub), 0),
    INDEX($C$67:$J$67, _xlpm.idx)
)</f>
        <v>B</v>
      </c>
      <c r="E55" s="64">
        <v>0.1</v>
      </c>
      <c r="F55" s="65">
        <f t="shared" ref="F55:F58" si="5">IFERROR(INDEX($M$13:$T$13, MATCH(D55, $M$12:$T$12, 0))*(1/SUM($E$54:$E$58)),"")</f>
        <v>21.428571428571427</v>
      </c>
      <c r="G55" s="129"/>
    </row>
    <row r="56" spans="2:7" ht="13.5" customHeight="1" x14ac:dyDescent="0.2">
      <c r="B56" s="32" t="s">
        <v>48</v>
      </c>
      <c r="C56" s="85">
        <f>C23/C17</f>
        <v>2.125</v>
      </c>
      <c r="D56" s="32" t="s">
        <v>57</v>
      </c>
      <c r="E56" s="64">
        <v>0.15</v>
      </c>
      <c r="F56" s="65">
        <f t="shared" si="5"/>
        <v>12.857142857142856</v>
      </c>
      <c r="G56" s="129"/>
    </row>
    <row r="57" spans="2:7" ht="13.5" customHeight="1" x14ac:dyDescent="0.2">
      <c r="B57" s="32" t="s">
        <v>50</v>
      </c>
      <c r="C57" s="85">
        <f>C33/C12</f>
        <v>2</v>
      </c>
      <c r="D57" s="32" t="str" cm="1">
        <f t="array" ref="D57">_xlfn.LET(
    _xlpm.rngTxt, TRIM(C71:J71),
    _xlpm.val, C57,
    _xlpm.sp, FIND(" ", _xlpm.rngTxt &amp; " "),
    _xlpm.hasSpace, _xlpm.sp &lt;= LEN(_xlpm.rngTxt),
    _xlpm.cols, COLUMN(C71:J71),
    _xlpm.firstCol, MIN(_xlpm.cols),
    _xlpm.lastCol, MAX(_xlpm.cols),
    _xlpm.rawMin, --LEFT(_xlpm.rngTxt, _xlpm.sp-1),
    _xlpm.rawMax, --MID(_xlpm.rngTxt, _xlpm.sp+1, 99),
    _xlpm.lb, IF(_xlpm.hasSpace, _xlpm.rawMin, IF(_xlpm.cols=_xlpm.firstCol, _xlpm.rawMin, -1E+99)),
    _xlpm.ub, IF(_xlpm.hasSpace, _xlpm.rawMax, IF(_xlpm.cols=_xlpm.lastCol, _xlpm.rawMin, 1E+99)),
    _xlpm.idx, MATCH(1, (_xlpm.val&gt;=_xlpm.lb)*(_xlpm.val&lt;_xlpm.ub), 0),
    INDEX($C$67:$J$67, _xlpm.idx)
)</f>
        <v>B</v>
      </c>
      <c r="E57" s="64">
        <v>0.15</v>
      </c>
      <c r="F57" s="65">
        <f t="shared" si="5"/>
        <v>21.428571428571427</v>
      </c>
      <c r="G57" s="129"/>
    </row>
    <row r="58" spans="2:7" ht="13.5" customHeight="1" x14ac:dyDescent="0.2">
      <c r="B58" s="32" t="s">
        <v>51</v>
      </c>
      <c r="C58" s="93">
        <f>C50/C29*100</f>
        <v>125</v>
      </c>
      <c r="D58" s="32" t="str" cm="1">
        <f t="array" ref="D58">_xlfn.LET(
    _xlpm.rngTxt, TRIM(C72:J72),
    _xlpm.val, C58,
    _xlpm.sp, FIND(" ", _xlpm.rngTxt &amp; " "),
    _xlpm.hasSpace, _xlpm.sp &lt;= LEN(_xlpm.rngTxt),
    _xlpm.cols, COLUMN(C72:J72),
    _xlpm.firstCol, MIN(_xlpm.cols),
    _xlpm.lastCol, MAX(_xlpm.cols),
    _xlpm.rawMin, --LEFT(_xlpm.rngTxt, _xlpm.sp-1),
    _xlpm.rawMax, --MID(_xlpm.rngTxt, _xlpm.sp+1, 99),
    _xlpm.lb, IF(_xlpm.hasSpace, _xlpm.rawMin, IF(_xlpm.cols=_xlpm.firstCol, _xlpm.rawMin, -1E+99)),
    _xlpm.ub, IF(_xlpm.hasSpace, _xlpm.rawMax, IF(_xlpm.cols=_xlpm.lastCol, _xlpm.rawMin, 1E+99)),
    _xlpm.idx, MATCH(1, (_xlpm.val&gt;=_xlpm.lb)*(_xlpm.val&lt;_xlpm.ub), 0),
    INDEX($C$67:$J$67, _xlpm.idx)
)</f>
        <v>Aaa</v>
      </c>
      <c r="E58" s="64">
        <v>0.1</v>
      </c>
      <c r="F58" s="65">
        <f t="shared" si="5"/>
        <v>1.4285714285714284</v>
      </c>
      <c r="G58" s="129"/>
    </row>
    <row r="59" spans="2:7" ht="13.5" customHeight="1" x14ac:dyDescent="0.2">
      <c r="E59" s="124">
        <f>SUM(E54:E58)</f>
        <v>0.70000000000000007</v>
      </c>
      <c r="F59" s="131">
        <f>SUMPRODUCT(F54:F58,E54:E58)</f>
        <v>13.142857142857142</v>
      </c>
      <c r="G59" s="129">
        <f t="shared" ref="G55:G59" si="6">F59*E59*7/10</f>
        <v>6.44</v>
      </c>
    </row>
    <row r="60" spans="2:7" ht="13.5" customHeight="1" x14ac:dyDescent="0.2">
      <c r="D60" s="66"/>
      <c r="E60" s="67" t="s">
        <v>138</v>
      </c>
      <c r="F60" s="68" t="str">
        <f>INDEX($M$17:$M$36, MATCH(F59, $O$17:$O$36, 1))</f>
        <v>Ba3</v>
      </c>
      <c r="G60" s="130">
        <f>SUM(G54:G59)</f>
        <v>6.44</v>
      </c>
    </row>
    <row r="61" spans="2:7" ht="13.5" customHeight="1" x14ac:dyDescent="0.2">
      <c r="E61" s="36" t="s">
        <v>139</v>
      </c>
      <c r="F61" s="33" t="str">
        <f>_xlfn.XLOOKUP(F60,R17:R36,S17:S36)</f>
        <v>BB-</v>
      </c>
    </row>
    <row r="62" spans="2:7" ht="13.5" customHeight="1" x14ac:dyDescent="0.2"/>
    <row r="63" spans="2:7" ht="13.5" customHeight="1" x14ac:dyDescent="0.2">
      <c r="B63" s="32" t="s">
        <v>148</v>
      </c>
      <c r="C63" s="36" t="str" cm="1">
        <f t="array" ref="C63">_xlfn.XLOOKUP(F61,N42:AF42,_xlfn.XLOOKUP(C6,M43:M47,N43:AF47))</f>
        <v>325 - 345</v>
      </c>
    </row>
    <row r="64" spans="2:7" ht="13.5" customHeight="1" x14ac:dyDescent="0.2">
      <c r="B64" s="104" t="str">
        <f>B8</f>
        <v>Customer pricing</v>
      </c>
      <c r="C64" s="105">
        <f>C8</f>
        <v>280</v>
      </c>
    </row>
    <row r="65" spans="2:10" x14ac:dyDescent="0.2">
      <c r="B65" s="32" t="s">
        <v>151</v>
      </c>
      <c r="C65" s="70" t="str">
        <f>TEXT(C64-LEFT(C63,3),"#,##0_);(#,##0)") &amp;" - " &amp;TEXT(C64-RIGHT(C63,3),"#,##0_);(#,##0)")</f>
        <v>(45) - (65)</v>
      </c>
    </row>
    <row r="67" spans="2:10" x14ac:dyDescent="0.2">
      <c r="C67" s="125" t="s">
        <v>54</v>
      </c>
      <c r="D67" s="126" t="s">
        <v>321</v>
      </c>
      <c r="E67" s="126" t="s">
        <v>322</v>
      </c>
      <c r="F67" s="126" t="s">
        <v>323</v>
      </c>
      <c r="G67" s="126" t="s">
        <v>324</v>
      </c>
      <c r="H67" s="126" t="s">
        <v>325</v>
      </c>
      <c r="I67" s="126" t="s">
        <v>326</v>
      </c>
      <c r="J67" s="126" t="s">
        <v>327</v>
      </c>
    </row>
    <row r="68" spans="2:10" x14ac:dyDescent="0.2">
      <c r="B68" s="32" t="s">
        <v>47</v>
      </c>
      <c r="C68" s="98">
        <f>IF(LEN(C87)&gt;0, C81 &amp; "  " &amp; C87, C81)</f>
        <v>60</v>
      </c>
      <c r="D68" s="98" t="str">
        <f t="shared" ref="D68:J68" si="7">IF(LEN(D87)&gt;0, D81 &amp; "  " &amp; D87, D81)</f>
        <v>30  60</v>
      </c>
      <c r="E68" s="98" t="str">
        <f t="shared" si="7"/>
        <v>10  30</v>
      </c>
      <c r="F68" s="98" t="str">
        <f t="shared" si="7"/>
        <v>5  10</v>
      </c>
      <c r="G68" s="98" t="str">
        <f t="shared" si="7"/>
        <v>1.5  5</v>
      </c>
      <c r="H68" s="98" t="str">
        <f t="shared" si="7"/>
        <v>0.5  1.5</v>
      </c>
      <c r="I68" s="98" t="str">
        <f t="shared" si="7"/>
        <v>0.2  0.5</v>
      </c>
      <c r="J68" s="98">
        <f t="shared" si="7"/>
        <v>0.2</v>
      </c>
    </row>
    <row r="69" spans="2:10" x14ac:dyDescent="0.2">
      <c r="B69" s="32" t="s">
        <v>45</v>
      </c>
      <c r="C69" s="98">
        <f t="shared" ref="C69:J72" si="8">IF(LEN(C88)&gt;0, C82 &amp; "  " &amp; C88, C82)</f>
        <v>50</v>
      </c>
      <c r="D69" s="98" t="str">
        <f t="shared" si="8"/>
        <v>35  50</v>
      </c>
      <c r="E69" s="98" t="str">
        <f t="shared" si="8"/>
        <v>25  35</v>
      </c>
      <c r="F69" s="98" t="str">
        <f t="shared" si="8"/>
        <v>20  25</v>
      </c>
      <c r="G69" s="98" t="str">
        <f t="shared" si="8"/>
        <v>15  20</v>
      </c>
      <c r="H69" s="98" t="str">
        <f t="shared" si="8"/>
        <v>10  15</v>
      </c>
      <c r="I69" s="98" t="str">
        <f t="shared" si="8"/>
        <v>5  10</v>
      </c>
      <c r="J69" s="98">
        <f t="shared" si="8"/>
        <v>5</v>
      </c>
    </row>
    <row r="70" spans="2:10" x14ac:dyDescent="0.2">
      <c r="B70" s="32" t="s">
        <v>48</v>
      </c>
      <c r="C70" s="98">
        <f t="shared" si="8"/>
        <v>0.5</v>
      </c>
      <c r="D70" s="98" t="str">
        <f t="shared" si="8"/>
        <v>0.5  1</v>
      </c>
      <c r="E70" s="98" t="str">
        <f t="shared" si="8"/>
        <v>1  2</v>
      </c>
      <c r="F70" s="98" t="str">
        <f t="shared" si="8"/>
        <v>2  3</v>
      </c>
      <c r="G70" s="98" t="str">
        <f t="shared" si="8"/>
        <v>3  4.5</v>
      </c>
      <c r="H70" s="98" t="str">
        <f t="shared" si="8"/>
        <v>4.5  6.5</v>
      </c>
      <c r="I70" s="98" t="str">
        <f t="shared" si="8"/>
        <v>6.5  9</v>
      </c>
      <c r="J70" s="98">
        <f t="shared" si="8"/>
        <v>9</v>
      </c>
    </row>
    <row r="71" spans="2:10" x14ac:dyDescent="0.2">
      <c r="B71" s="32" t="s">
        <v>50</v>
      </c>
      <c r="C71" s="98">
        <f t="shared" si="8"/>
        <v>25</v>
      </c>
      <c r="D71" s="98" t="str">
        <f t="shared" si="8"/>
        <v>15  25</v>
      </c>
      <c r="E71" s="98" t="str">
        <f t="shared" si="8"/>
        <v>10  15</v>
      </c>
      <c r="F71" s="98" t="str">
        <f t="shared" si="8"/>
        <v>6  10</v>
      </c>
      <c r="G71" s="98" t="str">
        <f t="shared" si="8"/>
        <v>3  6</v>
      </c>
      <c r="H71" s="98" t="str">
        <f t="shared" si="8"/>
        <v>1  3</v>
      </c>
      <c r="I71" s="98" t="str">
        <f t="shared" si="8"/>
        <v>0  1</v>
      </c>
      <c r="J71" s="98">
        <f t="shared" si="8"/>
        <v>0</v>
      </c>
    </row>
    <row r="72" spans="2:10" x14ac:dyDescent="0.2">
      <c r="B72" s="32" t="s">
        <v>51</v>
      </c>
      <c r="C72" s="98">
        <f t="shared" si="8"/>
        <v>80</v>
      </c>
      <c r="D72" s="98" t="str">
        <f t="shared" si="8"/>
        <v>60  80</v>
      </c>
      <c r="E72" s="98" t="str">
        <f t="shared" si="8"/>
        <v>40  60</v>
      </c>
      <c r="F72" s="98" t="str">
        <f t="shared" si="8"/>
        <v>25  40</v>
      </c>
      <c r="G72" s="98" t="str">
        <f t="shared" si="8"/>
        <v>15  25</v>
      </c>
      <c r="H72" s="98" t="str">
        <f t="shared" si="8"/>
        <v>7.5  15</v>
      </c>
      <c r="I72" s="98" t="str">
        <f t="shared" si="8"/>
        <v>2.5  7.5</v>
      </c>
      <c r="J72" s="98">
        <f t="shared" si="8"/>
        <v>2.5</v>
      </c>
    </row>
    <row r="73" spans="2:10" x14ac:dyDescent="0.2">
      <c r="C73" s="86"/>
      <c r="D73" s="86"/>
      <c r="E73" s="86"/>
      <c r="F73" s="87"/>
      <c r="G73" s="87"/>
      <c r="H73" s="87"/>
      <c r="I73" s="86"/>
      <c r="J73" s="86"/>
    </row>
    <row r="74" spans="2:10" x14ac:dyDescent="0.2">
      <c r="C74" s="86"/>
      <c r="D74" s="86"/>
      <c r="E74" s="86"/>
      <c r="F74" s="87"/>
      <c r="G74" s="87"/>
      <c r="H74" s="87"/>
      <c r="I74" s="86"/>
      <c r="J74" s="86"/>
    </row>
    <row r="75" spans="2:10" x14ac:dyDescent="0.2">
      <c r="B75" s="32" t="s">
        <v>47</v>
      </c>
      <c r="C75" s="102" t="s">
        <v>152</v>
      </c>
      <c r="D75" s="102" t="s">
        <v>153</v>
      </c>
      <c r="E75" s="102" t="s">
        <v>159</v>
      </c>
      <c r="F75" s="103" t="s">
        <v>160</v>
      </c>
      <c r="G75" s="103" t="s">
        <v>154</v>
      </c>
      <c r="H75" s="103" t="s">
        <v>155</v>
      </c>
      <c r="I75" s="102" t="s">
        <v>156</v>
      </c>
      <c r="J75" s="102" t="s">
        <v>157</v>
      </c>
    </row>
    <row r="76" spans="2:10" x14ac:dyDescent="0.2">
      <c r="B76" s="32" t="s">
        <v>45</v>
      </c>
      <c r="C76" s="102" t="s">
        <v>137</v>
      </c>
      <c r="D76" s="102" t="s">
        <v>222</v>
      </c>
      <c r="E76" s="102" t="s">
        <v>223</v>
      </c>
      <c r="F76" s="103" t="s">
        <v>140</v>
      </c>
      <c r="G76" s="103" t="s">
        <v>224</v>
      </c>
      <c r="H76" s="103" t="s">
        <v>225</v>
      </c>
      <c r="I76" s="102" t="s">
        <v>226</v>
      </c>
      <c r="J76" s="102" t="s">
        <v>63</v>
      </c>
    </row>
    <row r="77" spans="2:10" x14ac:dyDescent="0.2">
      <c r="B77" s="32" t="s">
        <v>48</v>
      </c>
      <c r="C77" s="102" t="s">
        <v>149</v>
      </c>
      <c r="D77" s="102" t="s">
        <v>227</v>
      </c>
      <c r="E77" s="102" t="s">
        <v>49</v>
      </c>
      <c r="F77" s="103" t="s">
        <v>143</v>
      </c>
      <c r="G77" s="103" t="s">
        <v>158</v>
      </c>
      <c r="H77" s="103" t="s">
        <v>144</v>
      </c>
      <c r="I77" s="102" t="s">
        <v>228</v>
      </c>
      <c r="J77" s="102" t="s">
        <v>66</v>
      </c>
    </row>
    <row r="78" spans="2:10" x14ac:dyDescent="0.2">
      <c r="B78" s="32" t="s">
        <v>50</v>
      </c>
      <c r="C78" s="102" t="s">
        <v>229</v>
      </c>
      <c r="D78" s="102" t="s">
        <v>230</v>
      </c>
      <c r="E78" s="102" t="s">
        <v>231</v>
      </c>
      <c r="F78" s="103" t="s">
        <v>145</v>
      </c>
      <c r="G78" s="103" t="s">
        <v>141</v>
      </c>
      <c r="H78" s="103" t="s">
        <v>67</v>
      </c>
      <c r="I78" s="102" t="s">
        <v>232</v>
      </c>
      <c r="J78" s="102" t="s">
        <v>233</v>
      </c>
    </row>
    <row r="79" spans="2:10" x14ac:dyDescent="0.2">
      <c r="B79" s="32" t="s">
        <v>51</v>
      </c>
      <c r="C79" s="102" t="s">
        <v>234</v>
      </c>
      <c r="D79" s="102" t="s">
        <v>235</v>
      </c>
      <c r="E79" s="102" t="s">
        <v>236</v>
      </c>
      <c r="F79" s="103" t="s">
        <v>146</v>
      </c>
      <c r="G79" s="103" t="s">
        <v>237</v>
      </c>
      <c r="H79" s="103" t="s">
        <v>142</v>
      </c>
      <c r="I79" s="102" t="s">
        <v>238</v>
      </c>
      <c r="J79" s="102" t="s">
        <v>64</v>
      </c>
    </row>
    <row r="80" spans="2:10" x14ac:dyDescent="0.2">
      <c r="C80" s="86"/>
      <c r="D80" s="86"/>
      <c r="E80" s="86"/>
      <c r="F80" s="87"/>
      <c r="G80" s="87"/>
      <c r="H80" s="87"/>
      <c r="I80" s="86"/>
      <c r="J80" s="86"/>
    </row>
    <row r="81" spans="3:11" x14ac:dyDescent="0.2">
      <c r="C81" s="95">
        <f>IFERROR(
  --SUBSTITUTE(SUBSTITUTE(SUBSTITUTE(SUBSTITUTE(SUBSTITUTE(SUBSTITUTE(
      IFERROR(LEFT(C75,FIND("-",C75)-1),C75),
  "&gt;",""),"&lt;",""),"≥",""),"x",""),"%","")," ",""),
"")</f>
        <v>60</v>
      </c>
      <c r="D81" s="95">
        <f t="shared" ref="D81:J81" si="9">IFERROR(
  --SUBSTITUTE(SUBSTITUTE(SUBSTITUTE(SUBSTITUTE(SUBSTITUTE(SUBSTITUTE(
      IFERROR(LEFT(D75,FIND("-",D75)-1),D75),
  "&gt;",""),"&lt;",""),"≥",""),"x",""),"%","")," ",""),
"")</f>
        <v>30</v>
      </c>
      <c r="E81" s="95">
        <f t="shared" si="9"/>
        <v>10</v>
      </c>
      <c r="F81" s="95">
        <f t="shared" si="9"/>
        <v>5</v>
      </c>
      <c r="G81" s="95">
        <f t="shared" si="9"/>
        <v>1.5</v>
      </c>
      <c r="H81" s="95">
        <f t="shared" si="9"/>
        <v>0.5</v>
      </c>
      <c r="I81" s="95">
        <f t="shared" si="9"/>
        <v>0.2</v>
      </c>
      <c r="J81" s="95">
        <f t="shared" si="9"/>
        <v>0.2</v>
      </c>
      <c r="K81" s="94"/>
    </row>
    <row r="82" spans="3:11" x14ac:dyDescent="0.2">
      <c r="C82" s="95">
        <f t="shared" ref="C82:J85" si="10">IFERROR(
  --SUBSTITUTE(SUBSTITUTE(SUBSTITUTE(SUBSTITUTE(SUBSTITUTE(SUBSTITUTE(
      IFERROR(LEFT(C76,FIND("-",C76)-1),C76),
  "&gt;",""),"&lt;",""),"≥",""),"x",""),"%","")," ",""),
"")</f>
        <v>50</v>
      </c>
      <c r="D82" s="95">
        <f t="shared" si="10"/>
        <v>35</v>
      </c>
      <c r="E82" s="95">
        <f t="shared" si="10"/>
        <v>25</v>
      </c>
      <c r="F82" s="95">
        <f t="shared" si="10"/>
        <v>20</v>
      </c>
      <c r="G82" s="95">
        <f t="shared" si="10"/>
        <v>15</v>
      </c>
      <c r="H82" s="95">
        <f t="shared" si="10"/>
        <v>10</v>
      </c>
      <c r="I82" s="95">
        <f t="shared" si="10"/>
        <v>5</v>
      </c>
      <c r="J82" s="95">
        <f t="shared" si="10"/>
        <v>5</v>
      </c>
      <c r="K82" s="94"/>
    </row>
    <row r="83" spans="3:11" x14ac:dyDescent="0.2">
      <c r="C83" s="95">
        <f t="shared" si="10"/>
        <v>0.5</v>
      </c>
      <c r="D83" s="95">
        <f t="shared" si="10"/>
        <v>0.5</v>
      </c>
      <c r="E83" s="95">
        <f t="shared" si="10"/>
        <v>1</v>
      </c>
      <c r="F83" s="95">
        <f t="shared" si="10"/>
        <v>2</v>
      </c>
      <c r="G83" s="95">
        <f t="shared" si="10"/>
        <v>3</v>
      </c>
      <c r="H83" s="95">
        <f t="shared" si="10"/>
        <v>4.5</v>
      </c>
      <c r="I83" s="95">
        <f t="shared" si="10"/>
        <v>6.5</v>
      </c>
      <c r="J83" s="95">
        <f t="shared" si="10"/>
        <v>9</v>
      </c>
      <c r="K83" s="94"/>
    </row>
    <row r="84" spans="3:11" x14ac:dyDescent="0.2">
      <c r="C84" s="95">
        <f t="shared" si="10"/>
        <v>25</v>
      </c>
      <c r="D84" s="95">
        <f t="shared" si="10"/>
        <v>15</v>
      </c>
      <c r="E84" s="95">
        <f t="shared" si="10"/>
        <v>10</v>
      </c>
      <c r="F84" s="95">
        <f t="shared" si="10"/>
        <v>6</v>
      </c>
      <c r="G84" s="95">
        <f t="shared" si="10"/>
        <v>3</v>
      </c>
      <c r="H84" s="95">
        <f t="shared" si="10"/>
        <v>1</v>
      </c>
      <c r="I84" s="95">
        <f t="shared" si="10"/>
        <v>0</v>
      </c>
      <c r="J84" s="95">
        <f t="shared" si="10"/>
        <v>0</v>
      </c>
      <c r="K84" s="94"/>
    </row>
    <row r="85" spans="3:11" x14ac:dyDescent="0.2">
      <c r="C85" s="95">
        <f t="shared" si="10"/>
        <v>80</v>
      </c>
      <c r="D85" s="95">
        <f t="shared" si="10"/>
        <v>60</v>
      </c>
      <c r="E85" s="95">
        <f t="shared" si="10"/>
        <v>40</v>
      </c>
      <c r="F85" s="95">
        <f t="shared" si="10"/>
        <v>25</v>
      </c>
      <c r="G85" s="95">
        <f t="shared" si="10"/>
        <v>15</v>
      </c>
      <c r="H85" s="95">
        <f t="shared" si="10"/>
        <v>7.5</v>
      </c>
      <c r="I85" s="95">
        <f t="shared" si="10"/>
        <v>2.5</v>
      </c>
      <c r="J85" s="95">
        <f t="shared" si="10"/>
        <v>2.5</v>
      </c>
      <c r="K85" s="94"/>
    </row>
    <row r="86" spans="3:11" x14ac:dyDescent="0.2">
      <c r="C86" s="96"/>
      <c r="D86" s="96"/>
      <c r="E86" s="96"/>
      <c r="F86" s="97"/>
      <c r="G86" s="97"/>
      <c r="H86" s="97"/>
      <c r="I86" s="96"/>
      <c r="J86" s="96"/>
      <c r="K86" s="94"/>
    </row>
    <row r="87" spans="3:11" x14ac:dyDescent="0.2">
      <c r="C87" s="96" t="str">
        <f>IFERROR(
  --SUBSTITUTE(SUBSTITUTE(SUBSTITUTE(SUBSTITUTE(SUBSTITUTE(SUBSTITUTE(
      MID(C75,FIND("-",C75)+1,99),
  "&gt;",""),"&lt;",""),"≥",""),"x",""),"%","")," ",""),
"")</f>
        <v/>
      </c>
      <c r="D87" s="96">
        <f t="shared" ref="D87:J87" si="11">IFERROR(
  --SUBSTITUTE(SUBSTITUTE(SUBSTITUTE(SUBSTITUTE(SUBSTITUTE(SUBSTITUTE(
      MID(D75,FIND("-",D75)+1,99),
  "&gt;",""),"&lt;",""),"≥",""),"x",""),"%","")," ",""),
"")</f>
        <v>60</v>
      </c>
      <c r="E87" s="96">
        <f t="shared" si="11"/>
        <v>30</v>
      </c>
      <c r="F87" s="96">
        <f t="shared" si="11"/>
        <v>10</v>
      </c>
      <c r="G87" s="96">
        <f t="shared" si="11"/>
        <v>5</v>
      </c>
      <c r="H87" s="96">
        <f t="shared" si="11"/>
        <v>1.5</v>
      </c>
      <c r="I87" s="96">
        <f t="shared" si="11"/>
        <v>0.5</v>
      </c>
      <c r="J87" s="96" t="str">
        <f t="shared" si="11"/>
        <v/>
      </c>
      <c r="K87" s="94"/>
    </row>
    <row r="88" spans="3:11" x14ac:dyDescent="0.2">
      <c r="C88" s="96" t="str">
        <f t="shared" ref="C88:J92" si="12">IFERROR(
  --SUBSTITUTE(SUBSTITUTE(SUBSTITUTE(SUBSTITUTE(SUBSTITUTE(SUBSTITUTE(
      MID(C76,FIND("-",C76)+1,99),
  "&gt;",""),"&lt;",""),"≥",""),"x",""),"%","")," ",""),
"")</f>
        <v/>
      </c>
      <c r="D88" s="96">
        <f t="shared" si="12"/>
        <v>50</v>
      </c>
      <c r="E88" s="96">
        <f t="shared" si="12"/>
        <v>35</v>
      </c>
      <c r="F88" s="96">
        <f t="shared" si="12"/>
        <v>25</v>
      </c>
      <c r="G88" s="96">
        <f t="shared" si="12"/>
        <v>20</v>
      </c>
      <c r="H88" s="96">
        <f t="shared" si="12"/>
        <v>15</v>
      </c>
      <c r="I88" s="96">
        <f t="shared" si="12"/>
        <v>10</v>
      </c>
      <c r="J88" s="96" t="str">
        <f t="shared" si="12"/>
        <v/>
      </c>
      <c r="K88" s="94"/>
    </row>
    <row r="89" spans="3:11" x14ac:dyDescent="0.2">
      <c r="C89" s="96" t="str">
        <f t="shared" si="12"/>
        <v/>
      </c>
      <c r="D89" s="96">
        <f t="shared" si="12"/>
        <v>1</v>
      </c>
      <c r="E89" s="96">
        <f t="shared" si="12"/>
        <v>2</v>
      </c>
      <c r="F89" s="96">
        <f t="shared" si="12"/>
        <v>3</v>
      </c>
      <c r="G89" s="96">
        <f t="shared" si="12"/>
        <v>4.5</v>
      </c>
      <c r="H89" s="96">
        <f t="shared" si="12"/>
        <v>6.5</v>
      </c>
      <c r="I89" s="96">
        <f t="shared" si="12"/>
        <v>9</v>
      </c>
      <c r="J89" s="96" t="str">
        <f t="shared" si="12"/>
        <v/>
      </c>
      <c r="K89" s="94"/>
    </row>
    <row r="90" spans="3:11" x14ac:dyDescent="0.2">
      <c r="C90" s="96" t="str">
        <f t="shared" si="12"/>
        <v/>
      </c>
      <c r="D90" s="96">
        <f t="shared" si="12"/>
        <v>25</v>
      </c>
      <c r="E90" s="96">
        <f t="shared" si="12"/>
        <v>15</v>
      </c>
      <c r="F90" s="96">
        <f t="shared" si="12"/>
        <v>10</v>
      </c>
      <c r="G90" s="96">
        <f t="shared" si="12"/>
        <v>6</v>
      </c>
      <c r="H90" s="96">
        <f t="shared" si="12"/>
        <v>3</v>
      </c>
      <c r="I90" s="96">
        <f t="shared" si="12"/>
        <v>1</v>
      </c>
      <c r="J90" s="96" t="str">
        <f t="shared" si="12"/>
        <v/>
      </c>
      <c r="K90" s="94"/>
    </row>
    <row r="91" spans="3:11" x14ac:dyDescent="0.2">
      <c r="C91" s="96" t="str">
        <f t="shared" si="12"/>
        <v/>
      </c>
      <c r="D91" s="96">
        <f t="shared" si="12"/>
        <v>80</v>
      </c>
      <c r="E91" s="96">
        <f t="shared" si="12"/>
        <v>60</v>
      </c>
      <c r="F91" s="96">
        <f t="shared" si="12"/>
        <v>40</v>
      </c>
      <c r="G91" s="96">
        <f t="shared" si="12"/>
        <v>25</v>
      </c>
      <c r="H91" s="96">
        <f t="shared" si="12"/>
        <v>15</v>
      </c>
      <c r="I91" s="96">
        <f t="shared" si="12"/>
        <v>7.5</v>
      </c>
      <c r="J91" s="96" t="str">
        <f t="shared" si="12"/>
        <v/>
      </c>
      <c r="K91" s="94"/>
    </row>
    <row r="92" spans="3:11" x14ac:dyDescent="0.2">
      <c r="C92" s="86" t="str">
        <f t="shared" si="12"/>
        <v/>
      </c>
      <c r="D92" s="86" t="str">
        <f t="shared" si="12"/>
        <v/>
      </c>
      <c r="E92" s="86" t="str">
        <f t="shared" si="12"/>
        <v/>
      </c>
      <c r="F92" s="86" t="str">
        <f t="shared" si="12"/>
        <v/>
      </c>
      <c r="G92" s="86" t="str">
        <f t="shared" si="12"/>
        <v/>
      </c>
      <c r="H92" s="86" t="str">
        <f t="shared" si="12"/>
        <v/>
      </c>
      <c r="I92" s="86" t="str">
        <f t="shared" si="12"/>
        <v/>
      </c>
      <c r="J92" s="86" t="str">
        <f t="shared" si="12"/>
        <v/>
      </c>
    </row>
  </sheetData>
  <dataValidations disablePrompts="1" count="1">
    <dataValidation type="list" allowBlank="1" showInputMessage="1" showErrorMessage="1" sqref="C6" xr:uid="{B47CE01C-DA49-4E4E-9039-ABBBF618A604}">
      <formula1>"1,2,3,4,5"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9CD7-AFCD-4841-93C4-2DFF074CB081}">
  <dimension ref="B2:AF132"/>
  <sheetViews>
    <sheetView tabSelected="1" topLeftCell="A64" workbookViewId="0">
      <selection activeCell="D83" sqref="D83"/>
    </sheetView>
  </sheetViews>
  <sheetFormatPr defaultRowHeight="12.75" x14ac:dyDescent="0.2"/>
  <cols>
    <col min="1" max="1" width="8.83203125" style="32" customWidth="1"/>
    <col min="2" max="2" width="63.83203125" style="32" bestFit="1" customWidth="1"/>
    <col min="3" max="3" width="11.33203125" style="36" bestFit="1" customWidth="1"/>
    <col min="4" max="4" width="8.33203125" style="32" customWidth="1"/>
    <col min="5" max="5" width="9.33203125" style="32"/>
    <col min="6" max="6" width="9.33203125" style="33"/>
    <col min="7" max="7" width="11.33203125" style="33" bestFit="1" customWidth="1"/>
    <col min="8" max="8" width="9.33203125" style="33"/>
    <col min="9" max="9" width="13" style="32" customWidth="1"/>
    <col min="10" max="10" width="11" style="32" customWidth="1"/>
    <col min="11" max="11" width="5.83203125" style="32" bestFit="1" customWidth="1"/>
    <col min="12" max="12" width="8.6640625" style="32" customWidth="1"/>
    <col min="13" max="16384" width="9.33203125" style="32"/>
  </cols>
  <sheetData>
    <row r="2" spans="2:20" x14ac:dyDescent="0.2">
      <c r="B2" s="32" t="s">
        <v>306</v>
      </c>
    </row>
    <row r="3" spans="2:20" x14ac:dyDescent="0.2">
      <c r="I3" s="34"/>
      <c r="J3" s="35"/>
      <c r="L3" s="36"/>
    </row>
    <row r="4" spans="2:20" x14ac:dyDescent="0.2">
      <c r="I4" s="34"/>
      <c r="J4" s="35"/>
      <c r="L4" s="36"/>
    </row>
    <row r="6" spans="2:20" x14ac:dyDescent="0.2">
      <c r="B6" s="76" t="s">
        <v>147</v>
      </c>
      <c r="C6" s="78">
        <v>5</v>
      </c>
    </row>
    <row r="8" spans="2:20" x14ac:dyDescent="0.2">
      <c r="B8" s="76" t="s">
        <v>150</v>
      </c>
      <c r="C8" s="79">
        <v>280</v>
      </c>
    </row>
    <row r="10" spans="2:20" x14ac:dyDescent="0.2">
      <c r="B10" s="76" t="s">
        <v>194</v>
      </c>
      <c r="C10" s="77">
        <v>25</v>
      </c>
    </row>
    <row r="12" spans="2:20" x14ac:dyDescent="0.2">
      <c r="B12" s="76" t="s">
        <v>239</v>
      </c>
      <c r="C12" s="77">
        <v>1.5</v>
      </c>
      <c r="I12" s="32" t="s">
        <v>170</v>
      </c>
      <c r="M12" s="36" t="s">
        <v>54</v>
      </c>
      <c r="N12" s="36" t="s">
        <v>55</v>
      </c>
      <c r="O12" s="36" t="s">
        <v>56</v>
      </c>
      <c r="P12" s="36" t="s">
        <v>57</v>
      </c>
      <c r="Q12" s="36" t="s">
        <v>58</v>
      </c>
      <c r="R12" s="36" t="s">
        <v>59</v>
      </c>
      <c r="S12" s="36" t="s">
        <v>60</v>
      </c>
      <c r="T12" s="36" t="s">
        <v>61</v>
      </c>
    </row>
    <row r="13" spans="2:20" x14ac:dyDescent="0.2">
      <c r="C13" s="72"/>
      <c r="M13" s="41">
        <v>1</v>
      </c>
      <c r="N13" s="41">
        <v>3</v>
      </c>
      <c r="O13" s="41">
        <v>6</v>
      </c>
      <c r="P13" s="41">
        <v>9</v>
      </c>
      <c r="Q13" s="41">
        <v>12</v>
      </c>
      <c r="R13" s="41">
        <v>15</v>
      </c>
      <c r="S13" s="41">
        <v>18</v>
      </c>
      <c r="T13" s="41">
        <v>20</v>
      </c>
    </row>
    <row r="14" spans="2:20" x14ac:dyDescent="0.2">
      <c r="B14" s="32" t="s">
        <v>196</v>
      </c>
      <c r="C14" s="71">
        <v>2</v>
      </c>
      <c r="M14" s="106"/>
      <c r="N14" s="106"/>
      <c r="O14" s="106"/>
      <c r="P14" s="106"/>
      <c r="Q14" s="106"/>
      <c r="R14" s="106"/>
      <c r="S14" s="106"/>
      <c r="T14" s="106"/>
    </row>
    <row r="15" spans="2:20" x14ac:dyDescent="0.2">
      <c r="B15" s="32" t="str">
        <f>B10</f>
        <v>Revenue (Mn)</v>
      </c>
      <c r="C15" s="107">
        <f>C10</f>
        <v>25</v>
      </c>
      <c r="M15" s="106"/>
      <c r="N15" s="106"/>
      <c r="O15" s="106"/>
      <c r="P15" s="106"/>
      <c r="Q15" s="106"/>
      <c r="R15" s="106"/>
      <c r="S15" s="106"/>
      <c r="T15" s="106"/>
    </row>
    <row r="16" spans="2:20" x14ac:dyDescent="0.2">
      <c r="B16" s="74" t="s">
        <v>240</v>
      </c>
      <c r="C16" s="108">
        <f>C14/C15</f>
        <v>0.08</v>
      </c>
      <c r="M16" s="106"/>
      <c r="N16" s="106"/>
      <c r="O16" s="106"/>
      <c r="P16" s="106"/>
      <c r="Q16" s="106"/>
      <c r="R16" s="106"/>
      <c r="S16" s="106"/>
      <c r="T16" s="106"/>
    </row>
    <row r="17" spans="2:20" x14ac:dyDescent="0.2">
      <c r="C17" s="72"/>
      <c r="M17" s="106"/>
      <c r="N17" s="106"/>
      <c r="O17" s="106"/>
      <c r="P17" s="106"/>
      <c r="Q17" s="106"/>
      <c r="R17" s="106"/>
      <c r="S17" s="106"/>
      <c r="T17" s="106"/>
    </row>
    <row r="18" spans="2:20" x14ac:dyDescent="0.2">
      <c r="B18" s="114"/>
      <c r="C18" s="115" t="s">
        <v>309</v>
      </c>
      <c r="D18" s="115" t="s">
        <v>310</v>
      </c>
      <c r="E18" s="115" t="s">
        <v>311</v>
      </c>
      <c r="F18" s="115" t="s">
        <v>308</v>
      </c>
      <c r="G18" s="116" t="s">
        <v>307</v>
      </c>
      <c r="H18" s="109"/>
      <c r="M18" s="106"/>
      <c r="N18" s="106"/>
      <c r="O18" s="106"/>
      <c r="P18" s="106"/>
      <c r="Q18" s="106"/>
      <c r="R18" s="106"/>
      <c r="S18" s="106"/>
      <c r="T18" s="106"/>
    </row>
    <row r="19" spans="2:20" x14ac:dyDescent="0.2">
      <c r="B19" s="32" t="s">
        <v>196</v>
      </c>
      <c r="C19" s="71">
        <v>1</v>
      </c>
      <c r="D19" s="71">
        <v>2</v>
      </c>
      <c r="E19" s="71">
        <v>4</v>
      </c>
      <c r="F19" s="71">
        <v>3</v>
      </c>
      <c r="G19" s="110">
        <f>C14</f>
        <v>2</v>
      </c>
      <c r="M19" s="106"/>
      <c r="N19" s="106"/>
      <c r="O19" s="106"/>
      <c r="P19" s="106"/>
      <c r="Q19" s="106"/>
      <c r="R19" s="106"/>
      <c r="S19" s="106"/>
      <c r="T19" s="106"/>
    </row>
    <row r="20" spans="2:20" x14ac:dyDescent="0.2">
      <c r="B20" s="32" t="str">
        <f>B15</f>
        <v>Revenue (Mn)</v>
      </c>
      <c r="C20" s="71">
        <v>25</v>
      </c>
      <c r="D20" s="71">
        <v>35</v>
      </c>
      <c r="E20" s="71">
        <v>20</v>
      </c>
      <c r="F20" s="71">
        <v>24</v>
      </c>
      <c r="G20" s="110">
        <f>C15</f>
        <v>25</v>
      </c>
      <c r="M20" s="106"/>
      <c r="N20" s="106"/>
      <c r="O20" s="106"/>
      <c r="P20" s="106"/>
      <c r="Q20" s="106"/>
      <c r="R20" s="106"/>
      <c r="S20" s="106"/>
      <c r="T20" s="106"/>
    </row>
    <row r="21" spans="2:20" x14ac:dyDescent="0.2">
      <c r="B21" s="81" t="str">
        <f>B16</f>
        <v>Operating Margin</v>
      </c>
      <c r="C21" s="111">
        <f>C19/C20</f>
        <v>0.04</v>
      </c>
      <c r="D21" s="111">
        <f>D19/D20</f>
        <v>5.7142857142857141E-2</v>
      </c>
      <c r="E21" s="111">
        <f>E19/E20</f>
        <v>0.2</v>
      </c>
      <c r="F21" s="111">
        <f>F19/F20</f>
        <v>0.125</v>
      </c>
      <c r="G21" s="111">
        <f>C16</f>
        <v>0.08</v>
      </c>
      <c r="M21" s="106"/>
      <c r="N21" s="106"/>
      <c r="O21" s="106"/>
      <c r="P21" s="106"/>
      <c r="Q21" s="106"/>
      <c r="R21" s="106"/>
      <c r="S21" s="106"/>
      <c r="T21" s="106"/>
    </row>
    <row r="22" spans="2:20" x14ac:dyDescent="0.2">
      <c r="B22" s="74" t="s">
        <v>312</v>
      </c>
      <c r="C22" s="112"/>
      <c r="D22" s="113"/>
      <c r="E22" s="112"/>
      <c r="F22" s="113"/>
      <c r="G22" s="112">
        <f>_xlfn.STDEV.P(C21:G21)/AVERAGE(C21:G21)</f>
        <v>0.57132522234467964</v>
      </c>
      <c r="M22" s="106"/>
      <c r="N22" s="106"/>
      <c r="O22" s="106"/>
      <c r="P22" s="106"/>
      <c r="Q22" s="106"/>
      <c r="R22" s="106"/>
      <c r="S22" s="106"/>
      <c r="T22" s="106"/>
    </row>
    <row r="23" spans="2:20" x14ac:dyDescent="0.2">
      <c r="C23" s="72"/>
      <c r="M23" s="106"/>
      <c r="N23" s="106"/>
      <c r="O23" s="106"/>
      <c r="P23" s="106"/>
      <c r="Q23" s="106"/>
      <c r="R23" s="106"/>
      <c r="S23" s="106"/>
      <c r="T23" s="106"/>
    </row>
    <row r="24" spans="2:20" x14ac:dyDescent="0.2">
      <c r="C24" s="116" t="str">
        <f t="shared" ref="C24:D24" si="0">F18</f>
        <v>-Y1</v>
      </c>
      <c r="D24" s="116" t="str">
        <f t="shared" si="0"/>
        <v>Y0</v>
      </c>
      <c r="M24" s="106"/>
      <c r="N24" s="106"/>
      <c r="O24" s="106"/>
      <c r="P24" s="106"/>
      <c r="Q24" s="106"/>
      <c r="R24" s="106"/>
      <c r="S24" s="106"/>
      <c r="T24" s="106"/>
    </row>
    <row r="25" spans="2:20" x14ac:dyDescent="0.2">
      <c r="B25" s="32" t="str">
        <f>B14</f>
        <v>EBIT</v>
      </c>
      <c r="C25" s="107"/>
      <c r="D25" s="107">
        <f>G19</f>
        <v>2</v>
      </c>
      <c r="M25" s="106"/>
      <c r="N25" s="106"/>
      <c r="O25" s="106"/>
      <c r="P25" s="106"/>
      <c r="Q25" s="106"/>
      <c r="R25" s="106"/>
      <c r="S25" s="106"/>
      <c r="T25" s="106"/>
    </row>
    <row r="26" spans="2:20" x14ac:dyDescent="0.2">
      <c r="B26" s="32" t="s">
        <v>313</v>
      </c>
      <c r="C26" s="71">
        <v>50</v>
      </c>
      <c r="D26" s="71">
        <v>40</v>
      </c>
      <c r="M26" s="106"/>
      <c r="N26" s="106"/>
      <c r="O26" s="106"/>
      <c r="P26" s="106"/>
      <c r="Q26" s="106"/>
      <c r="R26" s="106"/>
      <c r="S26" s="106"/>
      <c r="T26" s="106"/>
    </row>
    <row r="27" spans="2:20" x14ac:dyDescent="0.2">
      <c r="B27" s="74" t="s">
        <v>247</v>
      </c>
      <c r="C27" s="112"/>
      <c r="D27" s="112">
        <f>D25/AVERAGE(C26:D26)</f>
        <v>4.4444444444444446E-2</v>
      </c>
      <c r="M27" s="106"/>
      <c r="N27" s="106"/>
      <c r="O27" s="106"/>
      <c r="P27" s="106"/>
      <c r="Q27" s="106"/>
      <c r="R27" s="106"/>
      <c r="S27" s="106"/>
      <c r="T27" s="106"/>
    </row>
    <row r="28" spans="2:20" x14ac:dyDescent="0.2">
      <c r="C28" s="72"/>
      <c r="M28" s="106"/>
      <c r="N28" s="106"/>
      <c r="O28" s="106"/>
      <c r="P28" s="106"/>
      <c r="Q28" s="106"/>
      <c r="R28" s="106"/>
      <c r="S28" s="106"/>
      <c r="T28" s="106"/>
    </row>
    <row r="29" spans="2:20" x14ac:dyDescent="0.2">
      <c r="C29" s="72"/>
      <c r="M29" s="106"/>
      <c r="N29" s="106"/>
      <c r="O29" s="106"/>
      <c r="P29" s="106"/>
      <c r="Q29" s="106"/>
      <c r="R29" s="106"/>
      <c r="S29" s="106"/>
      <c r="T29" s="106"/>
    </row>
    <row r="30" spans="2:20" x14ac:dyDescent="0.2">
      <c r="B30" s="32" t="s">
        <v>199</v>
      </c>
      <c r="C30" s="71">
        <v>1</v>
      </c>
      <c r="M30" s="106"/>
      <c r="N30" s="106"/>
      <c r="O30" s="106"/>
      <c r="P30" s="106"/>
      <c r="Q30" s="106"/>
      <c r="R30" s="106"/>
      <c r="S30" s="106"/>
      <c r="T30" s="106"/>
    </row>
    <row r="31" spans="2:20" x14ac:dyDescent="0.2">
      <c r="B31" s="69" t="s">
        <v>201</v>
      </c>
      <c r="C31" s="71">
        <v>1</v>
      </c>
      <c r="M31" s="106"/>
      <c r="N31" s="106"/>
      <c r="O31" s="106"/>
      <c r="P31" s="106"/>
      <c r="Q31" s="106"/>
      <c r="R31" s="106"/>
      <c r="S31" s="106"/>
      <c r="T31" s="106"/>
    </row>
    <row r="32" spans="2:20" x14ac:dyDescent="0.2">
      <c r="B32" s="69" t="s">
        <v>202</v>
      </c>
      <c r="C32" s="71">
        <v>5</v>
      </c>
      <c r="M32" s="106"/>
      <c r="N32" s="106"/>
      <c r="O32" s="106"/>
      <c r="P32" s="106"/>
      <c r="Q32" s="106"/>
      <c r="R32" s="106"/>
      <c r="S32" s="106"/>
      <c r="T32" s="106"/>
    </row>
    <row r="33" spans="2:20" x14ac:dyDescent="0.2">
      <c r="B33" s="32" t="s">
        <v>200</v>
      </c>
      <c r="C33" s="73">
        <v>10</v>
      </c>
      <c r="M33" s="106"/>
      <c r="N33" s="106"/>
      <c r="O33" s="106"/>
      <c r="P33" s="106"/>
      <c r="Q33" s="106"/>
      <c r="R33" s="106"/>
      <c r="S33" s="106"/>
      <c r="T33" s="106"/>
    </row>
    <row r="34" spans="2:20" x14ac:dyDescent="0.2">
      <c r="B34" s="81" t="s">
        <v>203</v>
      </c>
      <c r="C34" s="82">
        <f>SUM(C30:C33)</f>
        <v>17</v>
      </c>
      <c r="M34" s="106"/>
      <c r="N34" s="106"/>
      <c r="O34" s="106"/>
      <c r="P34" s="106"/>
      <c r="Q34" s="106"/>
      <c r="R34" s="106"/>
      <c r="S34" s="106"/>
      <c r="T34" s="106"/>
    </row>
    <row r="35" spans="2:20" x14ac:dyDescent="0.2">
      <c r="B35" s="69" t="s">
        <v>314</v>
      </c>
      <c r="C35" s="71">
        <v>1</v>
      </c>
      <c r="M35" s="106"/>
      <c r="N35" s="106"/>
      <c r="O35" s="106"/>
      <c r="P35" s="106"/>
      <c r="Q35" s="106"/>
      <c r="R35" s="106"/>
      <c r="S35" s="106"/>
      <c r="T35" s="106"/>
    </row>
    <row r="36" spans="2:20" x14ac:dyDescent="0.2">
      <c r="B36" s="69" t="s">
        <v>315</v>
      </c>
      <c r="C36" s="71">
        <v>5</v>
      </c>
      <c r="M36" s="106"/>
      <c r="N36" s="106"/>
      <c r="O36" s="106"/>
      <c r="P36" s="106"/>
      <c r="Q36" s="106"/>
      <c r="R36" s="106"/>
      <c r="S36" s="106"/>
      <c r="T36" s="106"/>
    </row>
    <row r="37" spans="2:20" x14ac:dyDescent="0.2">
      <c r="B37" s="69" t="s">
        <v>316</v>
      </c>
      <c r="C37" s="73">
        <v>5</v>
      </c>
      <c r="M37" s="106"/>
      <c r="N37" s="106"/>
      <c r="O37" s="106"/>
      <c r="P37" s="106"/>
      <c r="Q37" s="106"/>
      <c r="R37" s="106"/>
      <c r="S37" s="106"/>
      <c r="T37" s="106"/>
    </row>
    <row r="38" spans="2:20" x14ac:dyDescent="0.2">
      <c r="B38" s="81" t="s">
        <v>317</v>
      </c>
      <c r="C38" s="82">
        <f>SUM(C35:C37)</f>
        <v>11</v>
      </c>
      <c r="M38" s="106"/>
      <c r="N38" s="106"/>
      <c r="O38" s="106"/>
      <c r="P38" s="106"/>
      <c r="Q38" s="106"/>
      <c r="R38" s="106"/>
      <c r="S38" s="106"/>
      <c r="T38" s="106"/>
    </row>
    <row r="39" spans="2:20" x14ac:dyDescent="0.2">
      <c r="B39" s="81" t="s">
        <v>318</v>
      </c>
      <c r="C39" s="82">
        <f>C38+C34</f>
        <v>28</v>
      </c>
      <c r="M39" s="106"/>
      <c r="N39" s="106"/>
      <c r="O39" s="106"/>
      <c r="P39" s="106"/>
      <c r="Q39" s="106"/>
      <c r="R39" s="106"/>
      <c r="S39" s="106"/>
      <c r="T39" s="106"/>
    </row>
    <row r="40" spans="2:20" x14ac:dyDescent="0.2">
      <c r="B40" s="74" t="s">
        <v>259</v>
      </c>
      <c r="C40" s="75">
        <f>C34/C39</f>
        <v>0.6071428571428571</v>
      </c>
    </row>
    <row r="41" spans="2:20" x14ac:dyDescent="0.2">
      <c r="C41" s="32"/>
    </row>
    <row r="42" spans="2:20" x14ac:dyDescent="0.2">
      <c r="B42" s="32" t="s">
        <v>203</v>
      </c>
      <c r="C42" s="80">
        <f>C34</f>
        <v>17</v>
      </c>
    </row>
    <row r="43" spans="2:20" x14ac:dyDescent="0.2">
      <c r="B43" s="32" t="s">
        <v>206</v>
      </c>
      <c r="C43" s="71">
        <v>1</v>
      </c>
    </row>
    <row r="44" spans="2:20" x14ac:dyDescent="0.2">
      <c r="B44" s="32" t="s">
        <v>207</v>
      </c>
      <c r="C44" s="71">
        <v>0</v>
      </c>
    </row>
    <row r="45" spans="2:20" x14ac:dyDescent="0.2">
      <c r="B45" s="74" t="s">
        <v>208</v>
      </c>
      <c r="C45" s="75">
        <f>C42-SUM(C43:C44)</f>
        <v>16</v>
      </c>
    </row>
    <row r="46" spans="2:20" x14ac:dyDescent="0.2">
      <c r="C46" s="32"/>
    </row>
    <row r="47" spans="2:20" x14ac:dyDescent="0.2">
      <c r="B47" s="32" t="s">
        <v>196</v>
      </c>
      <c r="C47" s="80">
        <f>EBIT</f>
        <v>2</v>
      </c>
    </row>
    <row r="48" spans="2:20" x14ac:dyDescent="0.2">
      <c r="B48" s="69" t="s">
        <v>197</v>
      </c>
      <c r="C48" s="71">
        <v>5</v>
      </c>
    </row>
    <row r="49" spans="2:19" x14ac:dyDescent="0.2">
      <c r="B49" s="69" t="s">
        <v>198</v>
      </c>
      <c r="C49" s="73">
        <v>1</v>
      </c>
    </row>
    <row r="50" spans="2:19" x14ac:dyDescent="0.2">
      <c r="B50" s="74" t="s">
        <v>195</v>
      </c>
      <c r="C50" s="75">
        <f>SUM(C47:C49)</f>
        <v>8</v>
      </c>
      <c r="M50" s="37" t="s">
        <v>171</v>
      </c>
      <c r="N50" s="88"/>
    </row>
    <row r="51" spans="2:19" x14ac:dyDescent="0.2">
      <c r="C51" s="72"/>
      <c r="L51" s="46"/>
      <c r="M51" s="40" t="s">
        <v>192</v>
      </c>
      <c r="N51" s="40" t="s">
        <v>193</v>
      </c>
      <c r="R51" s="32" t="s">
        <v>105</v>
      </c>
      <c r="S51" s="32" t="s">
        <v>106</v>
      </c>
    </row>
    <row r="52" spans="2:19" x14ac:dyDescent="0.2">
      <c r="C52" s="32"/>
      <c r="M52" s="89" t="s">
        <v>54</v>
      </c>
      <c r="N52" s="89" t="s">
        <v>172</v>
      </c>
      <c r="R52" s="32" t="s">
        <v>54</v>
      </c>
      <c r="S52" s="32" t="s">
        <v>107</v>
      </c>
    </row>
    <row r="53" spans="2:19" x14ac:dyDescent="0.2">
      <c r="C53" s="32"/>
      <c r="M53" s="90" t="s">
        <v>108</v>
      </c>
      <c r="N53" s="90" t="s">
        <v>173</v>
      </c>
      <c r="O53" s="32">
        <v>1.5</v>
      </c>
      <c r="R53" s="32" t="s">
        <v>108</v>
      </c>
      <c r="S53" s="32" t="s">
        <v>109</v>
      </c>
    </row>
    <row r="54" spans="2:19" x14ac:dyDescent="0.2">
      <c r="C54" s="32"/>
      <c r="M54" s="91" t="s">
        <v>110</v>
      </c>
      <c r="N54" s="91" t="s">
        <v>174</v>
      </c>
      <c r="O54" s="32">
        <v>2.5</v>
      </c>
      <c r="R54" s="32" t="s">
        <v>110</v>
      </c>
      <c r="S54" s="32" t="s">
        <v>111</v>
      </c>
    </row>
    <row r="55" spans="2:19" x14ac:dyDescent="0.2">
      <c r="C55" s="32"/>
      <c r="M55" s="92" t="s">
        <v>112</v>
      </c>
      <c r="N55" s="92" t="s">
        <v>175</v>
      </c>
      <c r="O55" s="32">
        <f>O54+1</f>
        <v>3.5</v>
      </c>
      <c r="R55" s="32" t="s">
        <v>112</v>
      </c>
      <c r="S55" s="32" t="s">
        <v>113</v>
      </c>
    </row>
    <row r="56" spans="2:19" x14ac:dyDescent="0.2">
      <c r="C56" s="32"/>
      <c r="M56" s="90" t="s">
        <v>114</v>
      </c>
      <c r="N56" s="90" t="s">
        <v>176</v>
      </c>
      <c r="O56" s="32">
        <f t="shared" ref="O56:O71" si="1">O55+1</f>
        <v>4.5</v>
      </c>
      <c r="R56" s="32" t="s">
        <v>114</v>
      </c>
      <c r="S56" s="32" t="s">
        <v>115</v>
      </c>
    </row>
    <row r="57" spans="2:19" x14ac:dyDescent="0.2">
      <c r="C57" s="32"/>
      <c r="M57" s="91" t="s">
        <v>116</v>
      </c>
      <c r="N57" s="91" t="s">
        <v>177</v>
      </c>
      <c r="O57" s="32">
        <f t="shared" si="1"/>
        <v>5.5</v>
      </c>
      <c r="R57" s="32" t="s">
        <v>116</v>
      </c>
      <c r="S57" s="32" t="s">
        <v>56</v>
      </c>
    </row>
    <row r="58" spans="2:19" x14ac:dyDescent="0.2">
      <c r="B58" s="76" t="s">
        <v>212</v>
      </c>
      <c r="C58" s="77">
        <v>15</v>
      </c>
      <c r="F58" s="32"/>
      <c r="J58" s="32" t="s">
        <v>213</v>
      </c>
      <c r="M58" s="92" t="s">
        <v>117</v>
      </c>
      <c r="N58" s="92" t="s">
        <v>178</v>
      </c>
      <c r="O58" s="32">
        <f t="shared" si="1"/>
        <v>6.5</v>
      </c>
      <c r="R58" s="32" t="s">
        <v>117</v>
      </c>
      <c r="S58" s="32" t="s">
        <v>70</v>
      </c>
    </row>
    <row r="59" spans="2:19" x14ac:dyDescent="0.2">
      <c r="F59" s="32"/>
      <c r="M59" s="90" t="s">
        <v>118</v>
      </c>
      <c r="N59" s="90" t="s">
        <v>179</v>
      </c>
      <c r="O59" s="32">
        <f t="shared" si="1"/>
        <v>7.5</v>
      </c>
      <c r="R59" s="32" t="s">
        <v>118</v>
      </c>
      <c r="S59" s="32" t="s">
        <v>71</v>
      </c>
    </row>
    <row r="60" spans="2:19" x14ac:dyDescent="0.2">
      <c r="B60" s="32" t="str">
        <f>B58</f>
        <v>Cash Flow From Operations (CFO)</v>
      </c>
      <c r="C60" s="80">
        <f>C58</f>
        <v>15</v>
      </c>
      <c r="F60" s="32"/>
      <c r="M60" s="91" t="s">
        <v>119</v>
      </c>
      <c r="N60" s="91" t="s">
        <v>180</v>
      </c>
      <c r="O60" s="32">
        <f t="shared" si="1"/>
        <v>8.5</v>
      </c>
      <c r="R60" s="32" t="s">
        <v>119</v>
      </c>
      <c r="S60" s="32" t="s">
        <v>72</v>
      </c>
    </row>
    <row r="61" spans="2:19" x14ac:dyDescent="0.2">
      <c r="B61" s="32" t="s">
        <v>216</v>
      </c>
      <c r="C61" s="71">
        <v>5</v>
      </c>
      <c r="F61" s="32"/>
      <c r="M61" s="92" t="s">
        <v>120</v>
      </c>
      <c r="N61" s="92" t="s">
        <v>181</v>
      </c>
      <c r="O61" s="32">
        <f t="shared" si="1"/>
        <v>9.5</v>
      </c>
      <c r="R61" s="32" t="s">
        <v>120</v>
      </c>
      <c r="S61" s="32" t="s">
        <v>73</v>
      </c>
    </row>
    <row r="62" spans="2:19" x14ac:dyDescent="0.2">
      <c r="B62" s="32" t="s">
        <v>215</v>
      </c>
      <c r="C62" s="73">
        <v>6</v>
      </c>
      <c r="F62" s="32"/>
      <c r="M62" s="90" t="s">
        <v>121</v>
      </c>
      <c r="N62" s="90" t="s">
        <v>182</v>
      </c>
      <c r="O62" s="32">
        <f t="shared" si="1"/>
        <v>10.5</v>
      </c>
      <c r="R62" s="32" t="s">
        <v>121</v>
      </c>
      <c r="S62" s="32" t="s">
        <v>74</v>
      </c>
    </row>
    <row r="63" spans="2:19" x14ac:dyDescent="0.2">
      <c r="B63" s="81" t="s">
        <v>217</v>
      </c>
      <c r="C63" s="82">
        <f>C62-C61</f>
        <v>1</v>
      </c>
      <c r="F63" s="32"/>
      <c r="M63" s="91" t="s">
        <v>122</v>
      </c>
      <c r="N63" s="91" t="s">
        <v>183</v>
      </c>
      <c r="O63" s="32">
        <f t="shared" si="1"/>
        <v>11.5</v>
      </c>
      <c r="R63" s="32" t="s">
        <v>122</v>
      </c>
      <c r="S63" s="32" t="s">
        <v>123</v>
      </c>
    </row>
    <row r="64" spans="2:19" x14ac:dyDescent="0.2">
      <c r="B64" s="32" t="s">
        <v>218</v>
      </c>
      <c r="C64" s="71">
        <v>50</v>
      </c>
      <c r="F64" s="32"/>
      <c r="M64" s="92" t="s">
        <v>124</v>
      </c>
      <c r="N64" s="92" t="s">
        <v>184</v>
      </c>
      <c r="O64" s="32">
        <f t="shared" si="1"/>
        <v>12.5</v>
      </c>
      <c r="R64" s="32" t="s">
        <v>124</v>
      </c>
      <c r="S64" s="32" t="s">
        <v>125</v>
      </c>
    </row>
    <row r="65" spans="2:32" x14ac:dyDescent="0.2">
      <c r="B65" s="32" t="s">
        <v>219</v>
      </c>
      <c r="C65" s="73">
        <v>40</v>
      </c>
      <c r="F65" s="32"/>
      <c r="M65" s="90" t="s">
        <v>42</v>
      </c>
      <c r="N65" s="90" t="s">
        <v>185</v>
      </c>
      <c r="O65" s="32">
        <f t="shared" si="1"/>
        <v>13.5</v>
      </c>
      <c r="R65" s="32" t="s">
        <v>42</v>
      </c>
      <c r="S65" s="32" t="s">
        <v>126</v>
      </c>
    </row>
    <row r="66" spans="2:32" x14ac:dyDescent="0.2">
      <c r="B66" s="81" t="s">
        <v>220</v>
      </c>
      <c r="C66" s="82">
        <f>C65-C64</f>
        <v>-10</v>
      </c>
      <c r="F66" s="32"/>
      <c r="M66" s="91" t="s">
        <v>127</v>
      </c>
      <c r="N66" s="91" t="s">
        <v>186</v>
      </c>
      <c r="O66" s="32">
        <f t="shared" si="1"/>
        <v>14.5</v>
      </c>
      <c r="R66" s="32" t="s">
        <v>127</v>
      </c>
      <c r="S66" s="32" t="s">
        <v>59</v>
      </c>
    </row>
    <row r="67" spans="2:32" x14ac:dyDescent="0.2">
      <c r="B67" s="66" t="s">
        <v>214</v>
      </c>
      <c r="C67" s="83">
        <f>C66+C63+C60</f>
        <v>6</v>
      </c>
      <c r="F67" s="32"/>
      <c r="M67" s="92" t="s">
        <v>128</v>
      </c>
      <c r="N67" s="92" t="s">
        <v>187</v>
      </c>
      <c r="O67" s="32">
        <f t="shared" si="1"/>
        <v>15.5</v>
      </c>
      <c r="R67" s="32" t="s">
        <v>128</v>
      </c>
      <c r="S67" s="32" t="s">
        <v>129</v>
      </c>
    </row>
    <row r="68" spans="2:32" x14ac:dyDescent="0.2">
      <c r="C68" s="80"/>
      <c r="F68" s="32"/>
      <c r="M68" s="90" t="s">
        <v>130</v>
      </c>
      <c r="N68" s="90" t="s">
        <v>188</v>
      </c>
      <c r="O68" s="32">
        <f t="shared" si="1"/>
        <v>16.5</v>
      </c>
      <c r="R68" s="32" t="s">
        <v>130</v>
      </c>
      <c r="S68" s="32" t="s">
        <v>131</v>
      </c>
    </row>
    <row r="69" spans="2:32" x14ac:dyDescent="0.2">
      <c r="B69" s="32" t="s">
        <v>214</v>
      </c>
      <c r="C69" s="80">
        <f>C67</f>
        <v>6</v>
      </c>
      <c r="M69" s="91" t="s">
        <v>132</v>
      </c>
      <c r="N69" s="91" t="s">
        <v>189</v>
      </c>
      <c r="O69" s="32">
        <f t="shared" si="1"/>
        <v>17.5</v>
      </c>
      <c r="R69" s="32" t="s">
        <v>132</v>
      </c>
      <c r="S69" s="32" t="s">
        <v>133</v>
      </c>
    </row>
    <row r="70" spans="2:32" x14ac:dyDescent="0.2">
      <c r="B70" s="69" t="s">
        <v>209</v>
      </c>
      <c r="C70" s="71">
        <v>1</v>
      </c>
      <c r="M70" s="92" t="s">
        <v>134</v>
      </c>
      <c r="N70" s="92" t="s">
        <v>190</v>
      </c>
      <c r="O70" s="32">
        <f t="shared" si="1"/>
        <v>18.5</v>
      </c>
      <c r="R70" s="32" t="s">
        <v>134</v>
      </c>
      <c r="S70" s="32" t="s">
        <v>135</v>
      </c>
    </row>
    <row r="71" spans="2:32" x14ac:dyDescent="0.2">
      <c r="B71" s="69" t="s">
        <v>210</v>
      </c>
      <c r="C71" s="71">
        <v>0</v>
      </c>
      <c r="M71" s="89" t="s">
        <v>61</v>
      </c>
      <c r="N71" s="89" t="s">
        <v>191</v>
      </c>
      <c r="O71" s="32">
        <f t="shared" si="1"/>
        <v>19.5</v>
      </c>
      <c r="R71" s="32" t="s">
        <v>61</v>
      </c>
      <c r="S71" s="32" t="s">
        <v>136</v>
      </c>
    </row>
    <row r="72" spans="2:32" x14ac:dyDescent="0.2">
      <c r="B72" s="69" t="s">
        <v>211</v>
      </c>
      <c r="C72" s="73">
        <v>0</v>
      </c>
    </row>
    <row r="73" spans="2:32" x14ac:dyDescent="0.2">
      <c r="B73" s="76" t="s">
        <v>221</v>
      </c>
      <c r="C73" s="75">
        <f>C69-Common_Dividends_per_the_Consolidated_Statement_of_Cash_Flow</f>
        <v>5</v>
      </c>
      <c r="M73" s="47"/>
      <c r="N73" s="48"/>
      <c r="O73" s="48"/>
      <c r="P73" s="48"/>
      <c r="Q73" s="47"/>
      <c r="R73" s="47"/>
    </row>
    <row r="74" spans="2:32" x14ac:dyDescent="0.2">
      <c r="B74" s="32" t="s">
        <v>205</v>
      </c>
    </row>
    <row r="75" spans="2:32" ht="13.5" thickBot="1" x14ac:dyDescent="0.25">
      <c r="M75" s="86"/>
      <c r="N75" s="100">
        <v>10</v>
      </c>
      <c r="O75" s="100">
        <v>10</v>
      </c>
      <c r="P75" s="101">
        <f>O75</f>
        <v>10</v>
      </c>
      <c r="Q75" s="101">
        <f>O75</f>
        <v>10</v>
      </c>
      <c r="R75" s="99">
        <v>10</v>
      </c>
      <c r="S75" s="98">
        <f>R75</f>
        <v>10</v>
      </c>
      <c r="T75" s="86"/>
      <c r="U75" s="86"/>
      <c r="V75" s="86"/>
      <c r="W75" s="86"/>
      <c r="X75" s="86"/>
      <c r="Y75" s="99">
        <v>20</v>
      </c>
      <c r="Z75" s="86">
        <f>$Y$75</f>
        <v>20</v>
      </c>
      <c r="AA75" s="99">
        <v>30</v>
      </c>
      <c r="AB75" s="98">
        <f>AA75</f>
        <v>30</v>
      </c>
      <c r="AC75" s="98">
        <f>AA75</f>
        <v>30</v>
      </c>
      <c r="AD75" s="99">
        <v>35</v>
      </c>
      <c r="AE75" s="98">
        <f>AD75</f>
        <v>35</v>
      </c>
      <c r="AF75" s="98">
        <f>AD75</f>
        <v>35</v>
      </c>
    </row>
    <row r="76" spans="2:32" ht="13.5" thickTop="1" x14ac:dyDescent="0.2">
      <c r="M76" s="49" t="s">
        <v>69</v>
      </c>
      <c r="N76" s="50"/>
      <c r="O76" s="50"/>
      <c r="P76" s="50"/>
      <c r="Q76" s="50"/>
      <c r="R76" s="51"/>
    </row>
    <row r="77" spans="2:32" x14ac:dyDescent="0.2">
      <c r="M77" s="52"/>
      <c r="N77" s="32" t="s">
        <v>107</v>
      </c>
      <c r="O77" s="32" t="s">
        <v>109</v>
      </c>
      <c r="P77" s="32" t="s">
        <v>111</v>
      </c>
      <c r="Q77" s="32" t="s">
        <v>113</v>
      </c>
      <c r="R77" s="32" t="s">
        <v>115</v>
      </c>
      <c r="S77" s="32" t="s">
        <v>56</v>
      </c>
      <c r="T77" s="32" t="s">
        <v>70</v>
      </c>
      <c r="U77" s="32" t="s">
        <v>71</v>
      </c>
      <c r="V77" s="32" t="s">
        <v>72</v>
      </c>
      <c r="W77" s="32" t="s">
        <v>73</v>
      </c>
      <c r="X77" s="32" t="s">
        <v>74</v>
      </c>
      <c r="Y77" s="32" t="s">
        <v>123</v>
      </c>
      <c r="Z77" s="32" t="s">
        <v>125</v>
      </c>
      <c r="AA77" s="32" t="s">
        <v>126</v>
      </c>
      <c r="AB77" s="32" t="s">
        <v>59</v>
      </c>
      <c r="AC77" s="32" t="s">
        <v>129</v>
      </c>
      <c r="AD77" s="32" t="s">
        <v>131</v>
      </c>
      <c r="AE77" s="32" t="s">
        <v>133</v>
      </c>
      <c r="AF77" s="32" t="s">
        <v>135</v>
      </c>
    </row>
    <row r="78" spans="2:32" x14ac:dyDescent="0.2">
      <c r="F78" s="33" t="s">
        <v>52</v>
      </c>
      <c r="G78" s="33" t="s">
        <v>53</v>
      </c>
      <c r="J78" s="124"/>
      <c r="M78" s="39">
        <v>1</v>
      </c>
      <c r="N78" s="46" t="str">
        <f>TEXT(LEFT(O78,FIND("-",O78)-1)-N$75,"0") &amp; " - " &amp;
TEXT(MID(O78,FIND("-",O78)+1,99)-N$75,"0")</f>
        <v>15 - 30</v>
      </c>
      <c r="O78" s="46" t="str">
        <f t="shared" ref="O78:S78" si="2">TEXT(LEFT(P78,FIND("-",P78)-1)-O$75,"0") &amp; " - " &amp;
TEXT(MID(P78,FIND("-",P78)+1,99)-O$75,"0")</f>
        <v>25 - 40</v>
      </c>
      <c r="P78" s="46" t="str">
        <f t="shared" si="2"/>
        <v>35 - 50</v>
      </c>
      <c r="Q78" s="46" t="str">
        <f t="shared" si="2"/>
        <v>45 - 60</v>
      </c>
      <c r="R78" s="46" t="str">
        <f t="shared" si="2"/>
        <v>55 - 70</v>
      </c>
      <c r="S78" s="46" t="str">
        <f t="shared" si="2"/>
        <v>65 - 80</v>
      </c>
      <c r="T78" s="55" t="s">
        <v>76</v>
      </c>
      <c r="U78" s="56" t="s">
        <v>77</v>
      </c>
      <c r="V78" s="56" t="s">
        <v>78</v>
      </c>
      <c r="W78" s="56" t="s">
        <v>79</v>
      </c>
      <c r="X78" s="57" t="s">
        <v>80</v>
      </c>
      <c r="Y78" s="46" t="str">
        <f>TEXT(LEFT(X78,FIND("-",X78)-1)+Y$75,"0") &amp; " - " &amp;
TEXT(MID(X78,FIND("-",X78)+1,99)+Y$75,"0")</f>
        <v>240 - 260</v>
      </c>
      <c r="Z78" s="46" t="str">
        <f t="shared" ref="Z78:AF78" si="3">TEXT(LEFT(Y78,FIND("-",Y78)-1)+Z$75,"0") &amp; " - " &amp;
TEXT(MID(Y78,FIND("-",Y78)+1,99)+Z$75,"0")</f>
        <v>260 - 280</v>
      </c>
      <c r="AA78" s="46" t="str">
        <f t="shared" si="3"/>
        <v>290 - 310</v>
      </c>
      <c r="AB78" s="46" t="str">
        <f t="shared" si="3"/>
        <v>320 - 340</v>
      </c>
      <c r="AC78" s="46" t="str">
        <f t="shared" si="3"/>
        <v>350 - 370</v>
      </c>
      <c r="AD78" s="46" t="str">
        <f t="shared" si="3"/>
        <v>385 - 405</v>
      </c>
      <c r="AE78" s="46" t="str">
        <f t="shared" si="3"/>
        <v>420 - 440</v>
      </c>
      <c r="AF78" s="46" t="str">
        <f t="shared" si="3"/>
        <v>455 - 475</v>
      </c>
    </row>
    <row r="79" spans="2:32" x14ac:dyDescent="0.2">
      <c r="B79" s="32" t="s">
        <v>47</v>
      </c>
      <c r="C79" s="84">
        <f>C10/1000</f>
        <v>2.5000000000000001E-2</v>
      </c>
      <c r="D79" s="32" t="str" cm="1">
        <f t="array" ref="D79">_xlfn.LET(
    _xlpm.rngTxt, TRIM(C97:J97),
    _xlpm.val, C79,
    _xlpm.sp, FIND(" ", _xlpm.rngTxt &amp; " "),
    _xlpm.hasSpace, _xlpm.sp &lt;= LEN(_xlpm.rngTxt),
    _xlpm.cols, COLUMN(C97:J97),
    _xlpm.firstCol, MIN(_xlpm.cols),
    _xlpm.lastCol, MAX(_xlpm.cols),
    _xlpm.rawMin, --LEFT(_xlpm.rngTxt, _xlpm.sp-1),
    _xlpm.rawMax, --MID(_xlpm.rngTxt, _xlpm.sp+1, 99),
    _xlpm.lb, IF(_xlpm.hasSpace, _xlpm.rawMin, IF(_xlpm.cols=_xlpm.firstCol, _xlpm.rawMin, -1E+99)),
    _xlpm.ub, IF(_xlpm.hasSpace, _xlpm.rawMax, IF(_xlpm.cols=_xlpm.lastCol, _xlpm.rawMin, 1E+99)),
    _xlpm.idx, MATCH(1, (_xlpm.val&gt;=_xlpm.lb)*(_xlpm.val&lt;_xlpm.ub), 0),
    INDEX($C$96:$J$96, _xlpm.idx)
)</f>
        <v>Ca</v>
      </c>
      <c r="E79" s="124">
        <v>0.05</v>
      </c>
      <c r="F79" s="65">
        <f>IFERROR(INDEX($M$13:$T$13, MATCH(D79, $M$12:$T$12, 0))*(1/SUM($E$79:$E$86)),"")</f>
        <v>26.666666666666671</v>
      </c>
      <c r="G79" s="33">
        <f>F79*E79</f>
        <v>1.3333333333333337</v>
      </c>
      <c r="M79" s="39">
        <v>2</v>
      </c>
      <c r="N79" s="46" t="str">
        <f t="shared" ref="N79:S79" si="4">TEXT(LEFT(O79,FIND("-",O79)-1)-N$75,"0") &amp; " - " &amp;
TEXT(MID(O79,FIND("-",O79)+1,99)-N$75,"0")</f>
        <v>25 - 35</v>
      </c>
      <c r="O79" s="46" t="str">
        <f t="shared" si="4"/>
        <v>35 - 45</v>
      </c>
      <c r="P79" s="46" t="str">
        <f t="shared" si="4"/>
        <v>45 - 55</v>
      </c>
      <c r="Q79" s="46" t="str">
        <f t="shared" si="4"/>
        <v>55 - 65</v>
      </c>
      <c r="R79" s="46" t="str">
        <f t="shared" si="4"/>
        <v>65 - 75</v>
      </c>
      <c r="S79" s="46" t="str">
        <f t="shared" si="4"/>
        <v>75 - 85</v>
      </c>
      <c r="T79" s="56" t="s">
        <v>82</v>
      </c>
      <c r="U79" s="56" t="s">
        <v>83</v>
      </c>
      <c r="V79" s="56" t="s">
        <v>84</v>
      </c>
      <c r="W79" s="56" t="s">
        <v>85</v>
      </c>
      <c r="X79" s="57" t="s">
        <v>86</v>
      </c>
      <c r="Y79" s="46" t="str">
        <f t="shared" ref="Y79:AF79" si="5">TEXT(LEFT(X79,FIND("-",X79)-1)+Y$75,"0") &amp; " - " &amp;
TEXT(MID(X79,FIND("-",X79)+1,99)+Y$75,"0")</f>
        <v>250 - 270</v>
      </c>
      <c r="Z79" s="46" t="str">
        <f t="shared" si="5"/>
        <v>270 - 290</v>
      </c>
      <c r="AA79" s="46" t="str">
        <f t="shared" si="5"/>
        <v>300 - 320</v>
      </c>
      <c r="AB79" s="46" t="str">
        <f t="shared" si="5"/>
        <v>330 - 350</v>
      </c>
      <c r="AC79" s="46" t="str">
        <f t="shared" si="5"/>
        <v>360 - 380</v>
      </c>
      <c r="AD79" s="46" t="str">
        <f t="shared" si="5"/>
        <v>395 - 415</v>
      </c>
      <c r="AE79" s="46" t="str">
        <f t="shared" si="5"/>
        <v>430 - 450</v>
      </c>
      <c r="AF79" s="46" t="str">
        <f t="shared" si="5"/>
        <v>465 - 485</v>
      </c>
    </row>
    <row r="80" spans="2:32" x14ac:dyDescent="0.2">
      <c r="B80" s="32" t="s">
        <v>240</v>
      </c>
      <c r="C80" s="93">
        <f>C16*100</f>
        <v>8</v>
      </c>
      <c r="D80" s="32" t="str" cm="1">
        <f t="array" ref="D80">_xlfn.LET(
    _xlpm.rngTxt, TRIM(C98:J98),
    _xlpm.val, C80,
    _xlpm.sp, FIND(" ", _xlpm.rngTxt &amp; " "),
    _xlpm.hasSpace, _xlpm.sp &lt;= LEN(_xlpm.rngTxt),
    _xlpm.cols, COLUMN(C98:J98),
    _xlpm.firstCol, MIN(_xlpm.cols),
    _xlpm.lastCol, MAX(_xlpm.cols),
    _xlpm.rawMin, --LEFT(_xlpm.rngTxt, _xlpm.sp-1),
    _xlpm.rawMax, --MID(_xlpm.rngTxt, _xlpm.sp+1, 99),
    _xlpm.lb, IF(_xlpm.hasSpace, _xlpm.rawMin, IF(_xlpm.cols=_xlpm.firstCol, _xlpm.rawMin, -1E+99)),
    _xlpm.ub, IF(_xlpm.hasSpace, _xlpm.rawMax, IF(_xlpm.cols=_xlpm.lastCol, _xlpm.rawMin, 1E+99)),
    _xlpm.idx, MATCH(1, (_xlpm.val&gt;=_xlpm.lb)*(_xlpm.val&lt;_xlpm.ub), 0),
    INDEX($C$96:$J$96, _xlpm.idx)
)</f>
        <v>Ba</v>
      </c>
      <c r="E80" s="124">
        <v>0.1</v>
      </c>
      <c r="F80" s="65">
        <f t="shared" ref="F80:F86" si="6">IFERROR(INDEX($M$13:$T$13, MATCH(D80, $M$12:$T$12, 0))*(1/SUM($E$79:$E$86)),"")</f>
        <v>16</v>
      </c>
      <c r="G80" s="33">
        <f t="shared" ref="G80:G86" si="7">F80*E80</f>
        <v>1.6</v>
      </c>
      <c r="M80" s="39">
        <v>3</v>
      </c>
      <c r="N80" s="46" t="str">
        <f t="shared" ref="N80:S80" si="8">TEXT(LEFT(O80,FIND("-",O80)-1)-N$75,"0") &amp; " - " &amp;
TEXT(MID(O80,FIND("-",O80)+1,99)-N$75,"0")</f>
        <v>35 - 45</v>
      </c>
      <c r="O80" s="46" t="str">
        <f t="shared" si="8"/>
        <v>45 - 55</v>
      </c>
      <c r="P80" s="46" t="str">
        <f t="shared" si="8"/>
        <v>55 - 65</v>
      </c>
      <c r="Q80" s="46" t="str">
        <f t="shared" si="8"/>
        <v>65 - 75</v>
      </c>
      <c r="R80" s="46" t="str">
        <f t="shared" si="8"/>
        <v>75 - 85</v>
      </c>
      <c r="S80" s="46" t="str">
        <f t="shared" si="8"/>
        <v>85 - 95</v>
      </c>
      <c r="T80" s="55" t="s">
        <v>77</v>
      </c>
      <c r="U80" s="56" t="s">
        <v>88</v>
      </c>
      <c r="V80" s="56" t="s">
        <v>89</v>
      </c>
      <c r="W80" s="56" t="s">
        <v>90</v>
      </c>
      <c r="X80" s="57" t="s">
        <v>91</v>
      </c>
      <c r="Y80" s="46" t="str">
        <f t="shared" ref="Y80:AF80" si="9">TEXT(LEFT(X80,FIND("-",X80)-1)+Y$75,"0") &amp; " - " &amp;
TEXT(MID(X80,FIND("-",X80)+1,99)+Y$75,"0")</f>
        <v>265 - 285</v>
      </c>
      <c r="Z80" s="46" t="str">
        <f t="shared" si="9"/>
        <v>285 - 305</v>
      </c>
      <c r="AA80" s="46" t="str">
        <f t="shared" si="9"/>
        <v>315 - 335</v>
      </c>
      <c r="AB80" s="46" t="str">
        <f t="shared" si="9"/>
        <v>345 - 365</v>
      </c>
      <c r="AC80" s="46" t="str">
        <f t="shared" si="9"/>
        <v>375 - 395</v>
      </c>
      <c r="AD80" s="46" t="str">
        <f t="shared" si="9"/>
        <v>410 - 430</v>
      </c>
      <c r="AE80" s="46" t="str">
        <f t="shared" si="9"/>
        <v>445 - 465</v>
      </c>
      <c r="AF80" s="46" t="str">
        <f t="shared" si="9"/>
        <v>480 - 500</v>
      </c>
    </row>
    <row r="81" spans="2:32" x14ac:dyDescent="0.2">
      <c r="B81" s="32" t="s">
        <v>243</v>
      </c>
      <c r="C81" s="118">
        <f>G22*1</f>
        <v>0.57132522234467964</v>
      </c>
      <c r="D81" s="32" t="str" cm="1">
        <f t="array" ref="D81">_xlfn.LET(
    _xlpm.rngTxt, TRIM(C99:J99),
    _xlpm.val, C81,
    _xlpm.sp, FIND(" ", _xlpm.rngTxt &amp; " "),
    _xlpm.hasSpace, _xlpm.sp &lt;= LEN(_xlpm.rngTxt),
    _xlpm.cols, COLUMN(C99:J99),
    _xlpm.firstCol, MIN(_xlpm.cols),
    _xlpm.lastCol, MAX(_xlpm.cols),
    _xlpm.rawMin, --LEFT(_xlpm.rngTxt, _xlpm.sp-1),
    _xlpm.rawMax, --MID(_xlpm.rngTxt, _xlpm.sp+1, 99),
    _xlpm.lb, IF(_xlpm.hasSpace, _xlpm.rawMin, IF(_xlpm.cols=_xlpm.firstCol, _xlpm.rawMin, -1E+99)),
    _xlpm.ub, IF(_xlpm.hasSpace, _xlpm.rawMax, IF(_xlpm.cols=_xlpm.lastCol, _xlpm.rawMin, 1E+99)),
    _xlpm.idx, MATCH(1, (_xlpm.val&gt;=_xlpm.lb)*(_xlpm.val&lt;_xlpm.ub), 0),
    INDEX($C$96:$J$96, _xlpm.idx)
)</f>
        <v>Ca</v>
      </c>
      <c r="E81" s="124">
        <v>0.1</v>
      </c>
      <c r="F81" s="65">
        <f t="shared" si="6"/>
        <v>26.666666666666671</v>
      </c>
      <c r="G81" s="33">
        <f t="shared" si="7"/>
        <v>2.6666666666666674</v>
      </c>
      <c r="M81" s="39">
        <v>4</v>
      </c>
      <c r="N81" s="46" t="str">
        <f t="shared" ref="N81:S81" si="10">TEXT(LEFT(O81,FIND("-",O81)-1)-N$75,"0") &amp; " - " &amp;
TEXT(MID(O81,FIND("-",O81)+1,99)-N$75,"0")</f>
        <v>55 - 65</v>
      </c>
      <c r="O81" s="46" t="str">
        <f t="shared" si="10"/>
        <v>65 - 75</v>
      </c>
      <c r="P81" s="46" t="str">
        <f t="shared" si="10"/>
        <v>75 - 85</v>
      </c>
      <c r="Q81" s="46" t="str">
        <f t="shared" si="10"/>
        <v>85 - 95</v>
      </c>
      <c r="R81" s="46" t="str">
        <f t="shared" si="10"/>
        <v>95 - 105</v>
      </c>
      <c r="S81" s="46" t="str">
        <f t="shared" si="10"/>
        <v>105 - 115</v>
      </c>
      <c r="T81" s="55" t="s">
        <v>93</v>
      </c>
      <c r="U81" s="56" t="s">
        <v>94</v>
      </c>
      <c r="V81" s="56" t="s">
        <v>95</v>
      </c>
      <c r="W81" s="56" t="s">
        <v>96</v>
      </c>
      <c r="X81" s="57" t="s">
        <v>97</v>
      </c>
      <c r="Y81" s="46" t="str">
        <f t="shared" ref="Y81:AF81" si="11">TEXT(LEFT(X81,FIND("-",X81)-1)+Y$75,"0") &amp; " - " &amp;
TEXT(MID(X81,FIND("-",X81)+1,99)+Y$75,"0")</f>
        <v>285 - 305</v>
      </c>
      <c r="Z81" s="46" t="str">
        <f t="shared" si="11"/>
        <v>305 - 325</v>
      </c>
      <c r="AA81" s="46" t="str">
        <f t="shared" si="11"/>
        <v>335 - 355</v>
      </c>
      <c r="AB81" s="46" t="str">
        <f t="shared" si="11"/>
        <v>365 - 385</v>
      </c>
      <c r="AC81" s="46" t="str">
        <f t="shared" si="11"/>
        <v>395 - 415</v>
      </c>
      <c r="AD81" s="46" t="str">
        <f t="shared" si="11"/>
        <v>430 - 450</v>
      </c>
      <c r="AE81" s="46" t="str">
        <f t="shared" si="11"/>
        <v>465 - 485</v>
      </c>
      <c r="AF81" s="46" t="str">
        <f t="shared" si="11"/>
        <v>500 - 520</v>
      </c>
    </row>
    <row r="82" spans="2:32" x14ac:dyDescent="0.2">
      <c r="B82" s="32" t="s">
        <v>247</v>
      </c>
      <c r="C82" s="85">
        <f>D27*100</f>
        <v>4.4444444444444446</v>
      </c>
      <c r="D82" s="32" t="str" cm="1">
        <f t="array" ref="D82">_xlfn.LET(
    _xlpm.rngTxt, TRIM(C100:J100),
    _xlpm.val, C82,
    _xlpm.sp, FIND(" ", _xlpm.rngTxt &amp; " "),
    _xlpm.hasSpace, _xlpm.sp &lt;= LEN(_xlpm.rngTxt),
    _xlpm.cols, COLUMN(C100:J100),
    _xlpm.firstCol, MIN(_xlpm.cols),
    _xlpm.lastCol, MAX(_xlpm.cols),
    _xlpm.rawMin, --LEFT(_xlpm.rngTxt, _xlpm.sp-1),
    _xlpm.rawMax, --MID(_xlpm.rngTxt, _xlpm.sp+1, 99),
    _xlpm.lb, IF(_xlpm.hasSpace, _xlpm.rawMin, IF(_xlpm.cols=_xlpm.firstCol, _xlpm.rawMin, -1E+99)),
    _xlpm.ub, IF(_xlpm.hasSpace, _xlpm.rawMax, IF(_xlpm.cols=_xlpm.lastCol, _xlpm.rawMin, 1E+99)),
    _xlpm.idx, MATCH(1, (_xlpm.val&gt;=_xlpm.lb)*(_xlpm.val&lt;_xlpm.ub), 0),
    INDEX($C$96:$J$96, _xlpm.idx)
)</f>
        <v>Ba</v>
      </c>
      <c r="E82" s="124">
        <v>0.1</v>
      </c>
      <c r="F82" s="65">
        <f t="shared" si="6"/>
        <v>16</v>
      </c>
      <c r="G82" s="33">
        <f t="shared" si="7"/>
        <v>1.6</v>
      </c>
      <c r="M82" s="39">
        <v>5</v>
      </c>
      <c r="N82" s="46" t="str">
        <f t="shared" ref="N82:S82" si="12">TEXT(LEFT(O82,FIND("-",O82)-1)-N$75,"0") &amp; " - " &amp;
TEXT(MID(O82,FIND("-",O82)+1,99)-N$75,"0")</f>
        <v>75 - 85</v>
      </c>
      <c r="O82" s="46" t="str">
        <f t="shared" si="12"/>
        <v>85 - 95</v>
      </c>
      <c r="P82" s="46" t="str">
        <f t="shared" si="12"/>
        <v>95 - 105</v>
      </c>
      <c r="Q82" s="46" t="str">
        <f t="shared" si="12"/>
        <v>105 - 115</v>
      </c>
      <c r="R82" s="46" t="str">
        <f t="shared" si="12"/>
        <v>115 - 125</v>
      </c>
      <c r="S82" s="46" t="str">
        <f t="shared" si="12"/>
        <v>125 - 135</v>
      </c>
      <c r="T82" s="56" t="s">
        <v>99</v>
      </c>
      <c r="U82" s="56" t="s">
        <v>100</v>
      </c>
      <c r="V82" s="56" t="s">
        <v>101</v>
      </c>
      <c r="W82" s="56" t="s">
        <v>102</v>
      </c>
      <c r="X82" s="57" t="s">
        <v>103</v>
      </c>
      <c r="Y82" s="46" t="str">
        <f t="shared" ref="Y82:AF82" si="13">TEXT(LEFT(X82,FIND("-",X82)-1)+Y$75,"0") &amp; " - " &amp;
TEXT(MID(X82,FIND("-",X82)+1,99)+Y$75,"0")</f>
        <v>305 - 325</v>
      </c>
      <c r="Z82" s="46" t="str">
        <f t="shared" si="13"/>
        <v>325 - 345</v>
      </c>
      <c r="AA82" s="46" t="str">
        <f t="shared" si="13"/>
        <v>355 - 375</v>
      </c>
      <c r="AB82" s="46" t="str">
        <f t="shared" si="13"/>
        <v>385 - 405</v>
      </c>
      <c r="AC82" s="46" t="str">
        <f t="shared" si="13"/>
        <v>415 - 435</v>
      </c>
      <c r="AD82" s="46" t="str">
        <f t="shared" si="13"/>
        <v>450 - 470</v>
      </c>
      <c r="AE82" s="46" t="str">
        <f t="shared" si="13"/>
        <v>485 - 505</v>
      </c>
      <c r="AF82" s="46" t="str">
        <f t="shared" si="13"/>
        <v>520 - 540</v>
      </c>
    </row>
    <row r="83" spans="2:32" ht="13.5" thickBot="1" x14ac:dyDescent="0.25">
      <c r="B83" s="32" t="s">
        <v>259</v>
      </c>
      <c r="C83" s="122">
        <f>C40*100</f>
        <v>60.714285714285708</v>
      </c>
      <c r="D83" s="104" t="str" cm="1">
        <f t="array" ref="D83">_xlfn.LET(
    _xlpm.rngTxt, TRIM(C101:J101),
    _xlpm.val, C83,
    _xlpm.sp, FIND(" ", _xlpm.rngTxt &amp; " "),
    _xlpm.hasSpace, _xlpm.sp &lt;= LEN(_xlpm.rngTxt),
    _xlpm.cols, COLUMN(C101:J101),
    _xlpm.firstCol, MIN(_xlpm.cols),
    _xlpm.lastCol, MAX(_xlpm.cols),
    _xlpm.rawMin, --LEFT(_xlpm.rngTxt, _xlpm.sp-1),
    _xlpm.rawMax, --MID(_xlpm.rngTxt, _xlpm.sp+1, 99),
    _xlpm.lb, IF(_xlpm.hasSpace, _xlpm.rawMin, IF(_xlpm.cols=_xlpm.firstCol, _xlpm.rawMin, -1E+99)),
    _xlpm.ub, IF(_xlpm.hasSpace, _xlpm.rawMax, IF(_xlpm.cols=_xlpm.lastCol, _xlpm.rawMin, 1E+99)),
    _xlpm.idx, MATCH(1, (_xlpm.val&gt;=_xlpm.lb)*(_xlpm.val&lt;_xlpm.ub), 0),
    INDEX($C$96:$J$96, _xlpm.idx)
)</f>
        <v>Aaa</v>
      </c>
      <c r="E83" s="124">
        <v>0.1</v>
      </c>
      <c r="F83" s="65">
        <f t="shared" si="6"/>
        <v>1.3333333333333335</v>
      </c>
      <c r="G83" s="33">
        <f t="shared" si="7"/>
        <v>0.13333333333333336</v>
      </c>
      <c r="M83" s="61" t="s">
        <v>104</v>
      </c>
      <c r="N83" s="62"/>
      <c r="O83" s="62"/>
      <c r="P83" s="62"/>
      <c r="Q83" s="62"/>
      <c r="R83" s="63"/>
    </row>
    <row r="84" spans="2:32" ht="13.5" thickTop="1" x14ac:dyDescent="0.2">
      <c r="B84" s="32" t="s">
        <v>286</v>
      </c>
      <c r="C84" s="123">
        <f>C34/C50</f>
        <v>2.125</v>
      </c>
      <c r="D84" s="104" t="str" cm="1">
        <f t="array" ref="D84">_xlfn.LET(
    _xlpm.rngTxt, TRIM(C102:J102),
    _xlpm.val, C84,
    _xlpm.sp, FIND(" ", _xlpm.rngTxt &amp; " "),
    _xlpm.hasSpace, _xlpm.sp &lt;= LEN(_xlpm.rngTxt),
    _xlpm.cols, COLUMN(C102:J102),
    _xlpm.firstCol, MIN(_xlpm.cols),
    _xlpm.lastCol, MAX(_xlpm.cols),
    _xlpm.rawMin, --LEFT(_xlpm.rngTxt, _xlpm.sp-1),
    _xlpm.rawMax, --MID(_xlpm.rngTxt, _xlpm.sp+1, 99),
    _xlpm.lb, IF(_xlpm.hasSpace, _xlpm.rawMin, IF(_xlpm.cols=_xlpm.firstCol, _xlpm.rawMin, -1E+99)),
    _xlpm.ub, IF(_xlpm.hasSpace, _xlpm.rawMax, IF(_xlpm.cols=_xlpm.lastCol, _xlpm.rawMin, 1E+99)),
    _xlpm.idx, MATCH(1, (_xlpm.val&gt;=_xlpm.lb)*(_xlpm.val&lt;_xlpm.ub), 0),
    INDEX($C$96:$J$96, _xlpm.idx)
)</f>
        <v>Aaa</v>
      </c>
      <c r="E84" s="124">
        <v>0.1</v>
      </c>
      <c r="F84" s="65">
        <f t="shared" si="6"/>
        <v>1.3333333333333335</v>
      </c>
      <c r="G84" s="33">
        <f t="shared" si="7"/>
        <v>0.13333333333333336</v>
      </c>
    </row>
    <row r="85" spans="2:32" x14ac:dyDescent="0.2">
      <c r="B85" s="32" t="s">
        <v>319</v>
      </c>
      <c r="C85" s="80">
        <f>C47/C12</f>
        <v>1.3333333333333333</v>
      </c>
      <c r="D85" s="32" t="str" cm="1">
        <f t="array" ref="D85">_xlfn.LET(
    _xlpm.rngTxt, TRIM(C103:J103),
    _xlpm.val, C85,
    _xlpm.sp, FIND(" ", _xlpm.rngTxt &amp; " "),
    _xlpm.hasSpace, _xlpm.sp &lt;= LEN(_xlpm.rngTxt),
    _xlpm.cols, COLUMN(C103:J103),
    _xlpm.firstCol, MIN(_xlpm.cols),
    _xlpm.lastCol, MAX(_xlpm.cols),
    _xlpm.rawMin, --LEFT(_xlpm.rngTxt, _xlpm.sp-1),
    _xlpm.rawMax, --MID(_xlpm.rngTxt, _xlpm.sp+1, 99),
    _xlpm.lb, IF(_xlpm.hasSpace, _xlpm.rawMin, IF(_xlpm.cols=_xlpm.firstCol, _xlpm.rawMin, -1E+99)),
    _xlpm.ub, IF(_xlpm.hasSpace, _xlpm.rawMax, IF(_xlpm.cols=_xlpm.lastCol, _xlpm.rawMin, 1E+99)),
    _xlpm.idx, MATCH(1, (_xlpm.val&gt;=_xlpm.lb)*(_xlpm.val&lt;_xlpm.ub), 0),
    INDEX($C$96:$J$96, _xlpm.idx)
)</f>
        <v>B</v>
      </c>
      <c r="E85" s="124">
        <v>0.1</v>
      </c>
      <c r="F85" s="65">
        <f t="shared" si="6"/>
        <v>20.000000000000004</v>
      </c>
      <c r="G85" s="33">
        <f t="shared" si="7"/>
        <v>2.0000000000000004</v>
      </c>
    </row>
    <row r="86" spans="2:32" ht="13.5" customHeight="1" x14ac:dyDescent="0.2">
      <c r="B86" s="32" t="s">
        <v>320</v>
      </c>
      <c r="C86" s="119">
        <f>C73/C45*100</f>
        <v>31.25</v>
      </c>
      <c r="D86" s="32" t="str" cm="1">
        <f t="array" ref="D86">_xlfn.LET(
    _xlpm.rngTxt, TRIM(C104:J104),
    _xlpm.val, C86,
    _xlpm.sp, FIND(" ", _xlpm.rngTxt &amp; " "),
    _xlpm.hasSpace, _xlpm.sp &lt;= LEN(_xlpm.rngTxt),
    _xlpm.cols, COLUMN(C104:J104),
    _xlpm.firstCol, MIN(_xlpm.cols),
    _xlpm.lastCol, MAX(_xlpm.cols),
    _xlpm.rawMin, --LEFT(_xlpm.rngTxt, _xlpm.sp-1),
    _xlpm.rawMax, --MID(_xlpm.rngTxt, _xlpm.sp+1, 99),
    _xlpm.lb, IF(_xlpm.hasSpace, _xlpm.rawMin, IF(_xlpm.cols=_xlpm.firstCol, _xlpm.rawMin, -1E+99)),
    _xlpm.ub, IF(_xlpm.hasSpace, _xlpm.rawMax, IF(_xlpm.cols=_xlpm.lastCol, _xlpm.rawMin, 1E+99)),
    _xlpm.idx, MATCH(1, (_xlpm.val&gt;=_xlpm.lb)*(_xlpm.val&lt;_xlpm.ub), 0),
    INDEX($C$96:$J$96, _xlpm.idx)
)</f>
        <v>Baa</v>
      </c>
      <c r="E86" s="124">
        <v>0.1</v>
      </c>
      <c r="F86" s="65">
        <f t="shared" si="6"/>
        <v>12.000000000000002</v>
      </c>
      <c r="G86" s="33">
        <f t="shared" si="7"/>
        <v>1.2000000000000002</v>
      </c>
    </row>
    <row r="87" spans="2:32" x14ac:dyDescent="0.2">
      <c r="F87" s="65">
        <f>SUMPRODUCT(F79:F86,E79:E86)</f>
        <v>10.666666666666668</v>
      </c>
      <c r="G87" s="33">
        <f>SUM(G79:G86)</f>
        <v>10.666666666666668</v>
      </c>
    </row>
    <row r="88" spans="2:32" ht="13.5" customHeight="1" x14ac:dyDescent="0.2">
      <c r="D88" s="66"/>
      <c r="E88" s="67" t="s">
        <v>138</v>
      </c>
      <c r="F88" s="68" t="str">
        <f>INDEX($M$52:$M$71, MATCH(F87, $O$52:$O$71, 1))</f>
        <v>Ba1</v>
      </c>
    </row>
    <row r="89" spans="2:32" ht="13.5" customHeight="1" x14ac:dyDescent="0.2">
      <c r="E89" s="36" t="s">
        <v>139</v>
      </c>
      <c r="F89" s="33" t="str">
        <f>_xlfn.XLOOKUP(F88,R52:R71,S52:S71)</f>
        <v>BB+</v>
      </c>
    </row>
    <row r="90" spans="2:32" ht="13.5" customHeight="1" x14ac:dyDescent="0.2"/>
    <row r="91" spans="2:32" ht="13.5" customHeight="1" x14ac:dyDescent="0.2"/>
    <row r="92" spans="2:32" ht="13.5" customHeight="1" x14ac:dyDescent="0.2">
      <c r="B92" s="32" t="s">
        <v>148</v>
      </c>
      <c r="C92" s="36" t="str" cm="1">
        <f t="array" ref="C92">_xlfn.XLOOKUP(F89,N77:AF77,_xlfn.XLOOKUP(C6,M78:M82,N78:AF82))</f>
        <v>285 - 305</v>
      </c>
    </row>
    <row r="93" spans="2:32" ht="13.5" customHeight="1" x14ac:dyDescent="0.2">
      <c r="B93" s="120" t="str">
        <f>B8</f>
        <v>Customer pricing</v>
      </c>
      <c r="C93" s="121">
        <f>C8</f>
        <v>280</v>
      </c>
    </row>
    <row r="94" spans="2:32" ht="13.5" customHeight="1" x14ac:dyDescent="0.2">
      <c r="B94" s="32" t="s">
        <v>151</v>
      </c>
      <c r="C94" s="70" t="str">
        <f>TEXT(C93-LEFT(C92,3),"#,##0_);(#,##0)") &amp;" - " &amp;TEXT(C93-RIGHT(C92,3),"#,##0_);(#,##0)")</f>
        <v>(5) - (25)</v>
      </c>
    </row>
    <row r="95" spans="2:32" ht="13.5" customHeight="1" x14ac:dyDescent="0.2"/>
    <row r="96" spans="2:32" ht="13.5" customHeight="1" x14ac:dyDescent="0.2">
      <c r="C96" s="125" t="s">
        <v>54</v>
      </c>
      <c r="D96" s="126" t="s">
        <v>321</v>
      </c>
      <c r="E96" s="126" t="s">
        <v>322</v>
      </c>
      <c r="F96" s="126" t="s">
        <v>323</v>
      </c>
      <c r="G96" s="126" t="s">
        <v>324</v>
      </c>
      <c r="H96" s="126" t="s">
        <v>325</v>
      </c>
      <c r="I96" s="126" t="s">
        <v>326</v>
      </c>
      <c r="J96" s="126" t="s">
        <v>327</v>
      </c>
      <c r="K96" s="124"/>
    </row>
    <row r="97" spans="2:11" ht="13.5" customHeight="1" x14ac:dyDescent="0.2">
      <c r="B97" s="124" t="s">
        <v>304</v>
      </c>
      <c r="C97" s="110">
        <f t="shared" ref="C97:J104" si="14">IF(LEN(C125)&gt;0, C116 &amp; "  " &amp; C125, C116)</f>
        <v>40</v>
      </c>
      <c r="D97" s="110" t="str">
        <f>IF(LEN(D125)&gt;0, D116 &amp; "  " &amp; D125, D116)</f>
        <v>20  40</v>
      </c>
      <c r="E97" s="110" t="str">
        <f t="shared" si="14"/>
        <v>10  20</v>
      </c>
      <c r="F97" s="110" t="str">
        <f t="shared" si="14"/>
        <v>3  10</v>
      </c>
      <c r="G97" s="110" t="str">
        <f t="shared" si="14"/>
        <v>1.25  3</v>
      </c>
      <c r="H97" s="110" t="str">
        <f t="shared" si="14"/>
        <v>0.25  1.25</v>
      </c>
      <c r="I97" s="110" t="str">
        <f>IF(LEN(I125)&gt;0, I116 &amp; "  " &amp; I125, I116)</f>
        <v>0.1  0.25</v>
      </c>
      <c r="J97" s="110">
        <f t="shared" si="14"/>
        <v>0.1</v>
      </c>
      <c r="K97" s="124"/>
    </row>
    <row r="98" spans="2:11" ht="13.5" customHeight="1" x14ac:dyDescent="0.2">
      <c r="B98" s="32" t="s">
        <v>240</v>
      </c>
      <c r="C98" s="110">
        <f t="shared" si="14"/>
        <v>30</v>
      </c>
      <c r="D98" s="110" t="str">
        <f t="shared" si="14"/>
        <v>24  30</v>
      </c>
      <c r="E98" s="110" t="str">
        <f t="shared" si="14"/>
        <v>18  24</v>
      </c>
      <c r="F98" s="110" t="str">
        <f t="shared" si="14"/>
        <v>12.5  18</v>
      </c>
      <c r="G98" s="110" t="str">
        <f t="shared" si="14"/>
        <v>7.5  12.5</v>
      </c>
      <c r="H98" s="110" t="str">
        <f t="shared" si="14"/>
        <v>2.5  7.5</v>
      </c>
      <c r="I98" s="110" t="str">
        <f t="shared" si="14"/>
        <v>1  2.5</v>
      </c>
      <c r="J98" s="110">
        <f t="shared" si="14"/>
        <v>1</v>
      </c>
      <c r="K98" s="124"/>
    </row>
    <row r="99" spans="2:11" ht="13.5" customHeight="1" x14ac:dyDescent="0.2">
      <c r="B99" s="32" t="s">
        <v>243</v>
      </c>
      <c r="C99" s="110">
        <f t="shared" si="14"/>
        <v>2.5</v>
      </c>
      <c r="D99" s="110" t="str">
        <f t="shared" si="14"/>
        <v>2.5  5</v>
      </c>
      <c r="E99" s="110" t="str">
        <f t="shared" si="14"/>
        <v>5  10</v>
      </c>
      <c r="F99" s="110" t="str">
        <f t="shared" si="14"/>
        <v>10  17.5</v>
      </c>
      <c r="G99" s="110" t="str">
        <f t="shared" si="14"/>
        <v>17.5  25</v>
      </c>
      <c r="H99" s="110" t="str">
        <f t="shared" si="14"/>
        <v>25  40</v>
      </c>
      <c r="I99" s="110" t="str">
        <f t="shared" si="14"/>
        <v>40  50</v>
      </c>
      <c r="J99" s="110">
        <f t="shared" si="14"/>
        <v>50</v>
      </c>
    </row>
    <row r="100" spans="2:11" ht="13.5" customHeight="1" x14ac:dyDescent="0.2">
      <c r="B100" s="32" t="s">
        <v>247</v>
      </c>
      <c r="C100" s="110">
        <f t="shared" si="14"/>
        <v>25</v>
      </c>
      <c r="D100" s="110" t="str">
        <f t="shared" si="14"/>
        <v>16  25</v>
      </c>
      <c r="E100" s="110" t="str">
        <f t="shared" si="14"/>
        <v>11  16</v>
      </c>
      <c r="F100" s="110" t="str">
        <f t="shared" si="14"/>
        <v>7  11</v>
      </c>
      <c r="G100" s="110" t="str">
        <f t="shared" si="14"/>
        <v>4  7</v>
      </c>
      <c r="H100" s="110" t="str">
        <f t="shared" si="14"/>
        <v>2  4</v>
      </c>
      <c r="I100" s="110" t="str">
        <f t="shared" si="14"/>
        <v>1  2</v>
      </c>
      <c r="J100" s="110">
        <f t="shared" si="14"/>
        <v>1</v>
      </c>
    </row>
    <row r="101" spans="2:11" ht="13.5" customHeight="1" x14ac:dyDescent="0.2">
      <c r="B101" s="117" t="s">
        <v>259</v>
      </c>
      <c r="C101" s="110">
        <f t="shared" ref="C101:J101" si="15">IF(LEN(C129)&gt;0, C120 &amp; "  " &amp; C129, C120)</f>
        <v>15</v>
      </c>
      <c r="D101" s="110" t="str">
        <f t="shared" si="15"/>
        <v>15  20</v>
      </c>
      <c r="E101" s="110" t="str">
        <f t="shared" si="15"/>
        <v>20  30</v>
      </c>
      <c r="F101" s="110" t="str">
        <f t="shared" si="15"/>
        <v>30  45</v>
      </c>
      <c r="G101" s="110" t="str">
        <f t="shared" si="15"/>
        <v>45  65</v>
      </c>
      <c r="H101" s="110" t="str">
        <f t="shared" si="15"/>
        <v>65  80</v>
      </c>
      <c r="I101" s="110" t="str">
        <f t="shared" si="15"/>
        <v>80  100</v>
      </c>
      <c r="J101" s="110">
        <f t="shared" si="15"/>
        <v>100</v>
      </c>
    </row>
    <row r="102" spans="2:11" ht="13.5" customHeight="1" x14ac:dyDescent="0.2">
      <c r="B102" s="117" t="s">
        <v>286</v>
      </c>
      <c r="C102" s="110">
        <f t="shared" ref="C102:J102" si="16">IF(LEN(C130)&gt;0, C121 &amp; "  " &amp; C130, C121)</f>
        <v>1</v>
      </c>
      <c r="D102" s="110" t="str">
        <f>IF(LEN(D130)&gt;0, D121 &amp; "  " &amp; D130, D121)</f>
        <v>1  1.75</v>
      </c>
      <c r="E102" s="110" t="str">
        <f t="shared" si="16"/>
        <v>1.75  2.5</v>
      </c>
      <c r="F102" s="110" t="str">
        <f t="shared" si="16"/>
        <v>2.5  3.5</v>
      </c>
      <c r="G102" s="110" t="str">
        <f t="shared" si="16"/>
        <v>3.5  4.5</v>
      </c>
      <c r="H102" s="110" t="str">
        <f t="shared" si="16"/>
        <v>4.5  6</v>
      </c>
      <c r="I102" s="110" t="str">
        <f t="shared" si="16"/>
        <v>6  7</v>
      </c>
      <c r="J102" s="110">
        <f t="shared" si="16"/>
        <v>7</v>
      </c>
    </row>
    <row r="103" spans="2:11" ht="13.5" customHeight="1" x14ac:dyDescent="0.2">
      <c r="B103" s="32" t="s">
        <v>295</v>
      </c>
      <c r="C103" s="110">
        <f t="shared" si="14"/>
        <v>16</v>
      </c>
      <c r="D103" s="110" t="str">
        <f t="shared" si="14"/>
        <v>10  16</v>
      </c>
      <c r="E103" s="110" t="str">
        <f t="shared" si="14"/>
        <v>7  10</v>
      </c>
      <c r="F103" s="110" t="str">
        <f t="shared" si="14"/>
        <v>4  7</v>
      </c>
      <c r="G103" s="110" t="str">
        <f t="shared" si="14"/>
        <v>2  4</v>
      </c>
      <c r="H103" s="110" t="str">
        <f>IF(LEN(H131)&gt;0, H122 &amp; "  " &amp; H131, H122)</f>
        <v>1  2</v>
      </c>
      <c r="I103" s="110" t="str">
        <f t="shared" si="14"/>
        <v>0.5  1</v>
      </c>
      <c r="J103" s="110">
        <f t="shared" si="14"/>
        <v>0.5</v>
      </c>
    </row>
    <row r="104" spans="2:11" x14ac:dyDescent="0.2">
      <c r="B104" s="32" t="s">
        <v>302</v>
      </c>
      <c r="C104" s="110">
        <f t="shared" si="14"/>
        <v>70</v>
      </c>
      <c r="D104" s="110" t="str">
        <f t="shared" si="14"/>
        <v>50  70</v>
      </c>
      <c r="E104" s="110" t="str">
        <f t="shared" si="14"/>
        <v>35  50</v>
      </c>
      <c r="F104" s="110" t="str">
        <f t="shared" si="14"/>
        <v>20  35</v>
      </c>
      <c r="G104" s="110" t="str">
        <f t="shared" si="14"/>
        <v>10  20</v>
      </c>
      <c r="H104" s="110" t="str">
        <f t="shared" si="14"/>
        <v>5  10</v>
      </c>
      <c r="I104" s="110" t="str">
        <f t="shared" si="14"/>
        <v>2.5  5</v>
      </c>
      <c r="J104" s="110">
        <f t="shared" si="14"/>
        <v>2.5</v>
      </c>
    </row>
    <row r="105" spans="2:11" x14ac:dyDescent="0.2">
      <c r="C105" s="98"/>
      <c r="D105" s="98"/>
      <c r="E105" s="98"/>
      <c r="F105" s="98"/>
      <c r="G105" s="98"/>
      <c r="H105" s="98"/>
      <c r="I105" s="98"/>
      <c r="J105" s="98"/>
    </row>
    <row r="106" spans="2:11" x14ac:dyDescent="0.2">
      <c r="C106" s="127" t="s">
        <v>328</v>
      </c>
      <c r="D106" s="126" t="s">
        <v>321</v>
      </c>
      <c r="E106" s="126" t="s">
        <v>322</v>
      </c>
      <c r="F106" s="126" t="s">
        <v>323</v>
      </c>
      <c r="G106" s="126" t="s">
        <v>324</v>
      </c>
      <c r="H106" s="126" t="s">
        <v>325</v>
      </c>
      <c r="I106" s="126" t="s">
        <v>326</v>
      </c>
      <c r="J106" s="126" t="s">
        <v>327</v>
      </c>
    </row>
    <row r="107" spans="2:11" x14ac:dyDescent="0.2">
      <c r="B107" s="124" t="s">
        <v>304</v>
      </c>
      <c r="C107" s="32" t="s">
        <v>260</v>
      </c>
      <c r="D107" s="32" t="s">
        <v>305</v>
      </c>
      <c r="E107" s="32" t="s">
        <v>261</v>
      </c>
      <c r="F107" s="32" t="s">
        <v>262</v>
      </c>
      <c r="G107" s="32" t="s">
        <v>263</v>
      </c>
      <c r="H107" s="32" t="s">
        <v>264</v>
      </c>
      <c r="I107" s="32" t="s">
        <v>265</v>
      </c>
      <c r="J107" s="32" t="s">
        <v>266</v>
      </c>
    </row>
    <row r="108" spans="2:11" x14ac:dyDescent="0.2">
      <c r="B108" s="32" t="s">
        <v>240</v>
      </c>
      <c r="C108" s="32" t="s">
        <v>267</v>
      </c>
      <c r="D108" s="32" t="s">
        <v>241</v>
      </c>
      <c r="E108" s="32" t="s">
        <v>242</v>
      </c>
      <c r="F108" s="32" t="s">
        <v>268</v>
      </c>
      <c r="G108" s="32" t="s">
        <v>269</v>
      </c>
      <c r="H108" s="32" t="s">
        <v>270</v>
      </c>
      <c r="I108" s="32" t="s">
        <v>271</v>
      </c>
      <c r="J108" s="32" t="s">
        <v>272</v>
      </c>
    </row>
    <row r="109" spans="2:11" x14ac:dyDescent="0.2">
      <c r="B109" s="32" t="s">
        <v>243</v>
      </c>
      <c r="C109" s="32" t="s">
        <v>273</v>
      </c>
      <c r="D109" s="32" t="s">
        <v>244</v>
      </c>
      <c r="E109" s="32" t="s">
        <v>274</v>
      </c>
      <c r="F109" s="32" t="s">
        <v>275</v>
      </c>
      <c r="G109" s="32" t="s">
        <v>245</v>
      </c>
      <c r="H109" s="32" t="s">
        <v>276</v>
      </c>
      <c r="I109" s="32" t="s">
        <v>246</v>
      </c>
      <c r="J109" s="32" t="s">
        <v>137</v>
      </c>
    </row>
    <row r="110" spans="2:11" x14ac:dyDescent="0.2">
      <c r="B110" s="32" t="s">
        <v>247</v>
      </c>
      <c r="C110" s="32" t="s">
        <v>277</v>
      </c>
      <c r="D110" s="32" t="s">
        <v>248</v>
      </c>
      <c r="E110" s="32" t="s">
        <v>278</v>
      </c>
      <c r="F110" s="32" t="s">
        <v>279</v>
      </c>
      <c r="G110" s="32" t="s">
        <v>280</v>
      </c>
      <c r="H110" s="32" t="s">
        <v>249</v>
      </c>
      <c r="I110" s="32" t="s">
        <v>281</v>
      </c>
      <c r="J110" s="32" t="s">
        <v>272</v>
      </c>
    </row>
    <row r="111" spans="2:11" x14ac:dyDescent="0.2">
      <c r="B111" s="32" t="s">
        <v>259</v>
      </c>
      <c r="C111" s="32" t="s">
        <v>282</v>
      </c>
      <c r="D111" s="32" t="s">
        <v>250</v>
      </c>
      <c r="E111" s="124" t="s">
        <v>251</v>
      </c>
      <c r="F111" s="32" t="s">
        <v>283</v>
      </c>
      <c r="G111" s="32" t="s">
        <v>252</v>
      </c>
      <c r="H111" s="32" t="s">
        <v>253</v>
      </c>
      <c r="I111" s="32" t="s">
        <v>284</v>
      </c>
      <c r="J111" s="32" t="s">
        <v>285</v>
      </c>
    </row>
    <row r="112" spans="2:11" x14ac:dyDescent="0.2">
      <c r="B112" s="32" t="s">
        <v>286</v>
      </c>
      <c r="C112" s="32" t="s">
        <v>287</v>
      </c>
      <c r="D112" s="32" t="s">
        <v>288</v>
      </c>
      <c r="E112" s="124" t="s">
        <v>289</v>
      </c>
      <c r="F112" s="32" t="s">
        <v>290</v>
      </c>
      <c r="G112" s="32" t="s">
        <v>291</v>
      </c>
      <c r="H112" s="32" t="s">
        <v>292</v>
      </c>
      <c r="I112" s="32" t="s">
        <v>293</v>
      </c>
      <c r="J112" s="32" t="s">
        <v>294</v>
      </c>
    </row>
    <row r="113" spans="2:11" x14ac:dyDescent="0.2">
      <c r="B113" s="32" t="s">
        <v>295</v>
      </c>
      <c r="C113" s="124" t="s">
        <v>296</v>
      </c>
      <c r="D113" s="32" t="s">
        <v>297</v>
      </c>
      <c r="E113" s="124" t="s">
        <v>298</v>
      </c>
      <c r="F113" s="32" t="s">
        <v>299</v>
      </c>
      <c r="G113" s="32" t="s">
        <v>254</v>
      </c>
      <c r="H113" s="32" t="s">
        <v>300</v>
      </c>
      <c r="I113" s="32" t="s">
        <v>301</v>
      </c>
      <c r="J113" s="32" t="s">
        <v>149</v>
      </c>
    </row>
    <row r="114" spans="2:11" x14ac:dyDescent="0.2">
      <c r="B114" s="32" t="s">
        <v>302</v>
      </c>
      <c r="C114" s="32" t="s">
        <v>303</v>
      </c>
      <c r="D114" s="32" t="s">
        <v>255</v>
      </c>
      <c r="E114" s="32" t="s">
        <v>256</v>
      </c>
      <c r="F114" s="32" t="s">
        <v>257</v>
      </c>
      <c r="G114" s="32" t="s">
        <v>258</v>
      </c>
      <c r="H114" s="32" t="s">
        <v>274</v>
      </c>
      <c r="I114" s="32" t="s">
        <v>244</v>
      </c>
      <c r="J114" s="32" t="s">
        <v>273</v>
      </c>
    </row>
    <row r="115" spans="2:11" x14ac:dyDescent="0.2">
      <c r="C115" s="95"/>
      <c r="D115" s="95"/>
      <c r="E115" s="95"/>
      <c r="F115" s="95"/>
      <c r="G115" s="95"/>
      <c r="H115" s="95"/>
      <c r="I115" s="95"/>
    </row>
    <row r="116" spans="2:11" x14ac:dyDescent="0.2">
      <c r="C116" s="95">
        <f>IFERROR(
  --SUBSTITUTE(SUBSTITUTE(SUBSTITUTE(SUBSTITUTE(SUBSTITUTE(SUBSTITUTE(SUBSTITUTE(SUBSTITUTE(
      IFERROR(LEFT(C107,FIND("-",C107)-1),C107),
  "&gt;",""),"&lt;",""),"≥",""),"x",""),"%","")," ",""),"(",""),")",""),
"")</f>
        <v>40</v>
      </c>
      <c r="D116" s="95">
        <f>IFERROR(
  --SUBSTITUTE(SUBSTITUTE(SUBSTITUTE(SUBSTITUTE(SUBSTITUTE(SUBSTITUTE(SUBSTITUTE(SUBSTITUTE(
      IFERROR(LEFT(D107,FIND("-",D107)-1),D107),
  "&gt;",""),"&lt;",""),"≥",""),"x",""),"%","")," ",""),"(",""),")",""),
"")</f>
        <v>20</v>
      </c>
      <c r="E116" s="95">
        <f t="shared" ref="E116:J116" si="17">IFERROR(
  --SUBSTITUTE(SUBSTITUTE(SUBSTITUTE(SUBSTITUTE(SUBSTITUTE(SUBSTITUTE(SUBSTITUTE(SUBSTITUTE(
      IFERROR(LEFT(E107,FIND("-",E107)-1),E107),
  "&gt;",""),"&lt;",""),"≥",""),"x",""),"%","")," ",""),"(",""),")",""),
"")</f>
        <v>10</v>
      </c>
      <c r="F116" s="95">
        <f t="shared" si="17"/>
        <v>3</v>
      </c>
      <c r="G116" s="95">
        <f t="shared" si="17"/>
        <v>1.25</v>
      </c>
      <c r="H116" s="95">
        <f t="shared" si="17"/>
        <v>0.25</v>
      </c>
      <c r="I116" s="95">
        <f t="shared" si="17"/>
        <v>0.1</v>
      </c>
      <c r="J116" s="95">
        <f t="shared" si="17"/>
        <v>0.1</v>
      </c>
    </row>
    <row r="117" spans="2:11" x14ac:dyDescent="0.2">
      <c r="C117" s="95">
        <f t="shared" ref="C117:J123" si="18">IFERROR(
  --SUBSTITUTE(SUBSTITUTE(SUBSTITUTE(SUBSTITUTE(SUBSTITUTE(SUBSTITUTE(
      IFERROR(LEFT(C108,FIND("-",C108)-1),C108),
  "&gt;",""),"&lt;",""),"≥",""),"x",""),"%","")," ",""),
"")</f>
        <v>30</v>
      </c>
      <c r="D117" s="95">
        <f t="shared" si="18"/>
        <v>24</v>
      </c>
      <c r="E117" s="95">
        <f t="shared" si="18"/>
        <v>18</v>
      </c>
      <c r="F117" s="95">
        <f t="shared" si="18"/>
        <v>12.5</v>
      </c>
      <c r="G117" s="95">
        <f t="shared" si="18"/>
        <v>7.5</v>
      </c>
      <c r="H117" s="95">
        <f t="shared" si="18"/>
        <v>2.5</v>
      </c>
      <c r="I117" s="95">
        <f t="shared" si="18"/>
        <v>1</v>
      </c>
      <c r="J117" s="95">
        <f t="shared" si="18"/>
        <v>1</v>
      </c>
    </row>
    <row r="118" spans="2:11" x14ac:dyDescent="0.2">
      <c r="C118" s="95">
        <f t="shared" si="18"/>
        <v>2.5</v>
      </c>
      <c r="D118" s="95">
        <f t="shared" si="18"/>
        <v>2.5</v>
      </c>
      <c r="E118" s="95">
        <f t="shared" si="18"/>
        <v>5</v>
      </c>
      <c r="F118" s="95">
        <f t="shared" si="18"/>
        <v>10</v>
      </c>
      <c r="G118" s="95">
        <f t="shared" si="18"/>
        <v>17.5</v>
      </c>
      <c r="H118" s="95">
        <f t="shared" si="18"/>
        <v>25</v>
      </c>
      <c r="I118" s="95">
        <f t="shared" si="18"/>
        <v>40</v>
      </c>
      <c r="J118" s="95">
        <f t="shared" si="18"/>
        <v>50</v>
      </c>
      <c r="K118" s="94"/>
    </row>
    <row r="119" spans="2:11" x14ac:dyDescent="0.2">
      <c r="C119" s="95">
        <f t="shared" si="18"/>
        <v>25</v>
      </c>
      <c r="D119" s="95">
        <f t="shared" si="18"/>
        <v>16</v>
      </c>
      <c r="E119" s="95">
        <f t="shared" si="18"/>
        <v>11</v>
      </c>
      <c r="F119" s="95">
        <f t="shared" si="18"/>
        <v>7</v>
      </c>
      <c r="G119" s="95">
        <f t="shared" si="18"/>
        <v>4</v>
      </c>
      <c r="H119" s="95">
        <f t="shared" si="18"/>
        <v>2</v>
      </c>
      <c r="I119" s="95">
        <f t="shared" si="18"/>
        <v>1</v>
      </c>
      <c r="J119" s="95">
        <f t="shared" si="18"/>
        <v>1</v>
      </c>
      <c r="K119" s="94"/>
    </row>
    <row r="120" spans="2:11" x14ac:dyDescent="0.2">
      <c r="C120" s="95">
        <f t="shared" si="18"/>
        <v>15</v>
      </c>
      <c r="D120" s="95">
        <f t="shared" si="18"/>
        <v>15</v>
      </c>
      <c r="E120" s="95">
        <f t="shared" si="18"/>
        <v>20</v>
      </c>
      <c r="F120" s="95">
        <f t="shared" si="18"/>
        <v>30</v>
      </c>
      <c r="G120" s="95">
        <f t="shared" si="18"/>
        <v>45</v>
      </c>
      <c r="H120" s="95">
        <f t="shared" si="18"/>
        <v>65</v>
      </c>
      <c r="I120" s="95">
        <f t="shared" si="18"/>
        <v>80</v>
      </c>
      <c r="J120" s="95">
        <f t="shared" si="18"/>
        <v>100</v>
      </c>
      <c r="K120" s="94"/>
    </row>
    <row r="121" spans="2:11" x14ac:dyDescent="0.2">
      <c r="C121" s="95">
        <f t="shared" si="18"/>
        <v>1</v>
      </c>
      <c r="D121" s="95">
        <f t="shared" si="18"/>
        <v>1</v>
      </c>
      <c r="E121" s="95">
        <f t="shared" si="18"/>
        <v>1.75</v>
      </c>
      <c r="F121" s="95">
        <f t="shared" si="18"/>
        <v>2.5</v>
      </c>
      <c r="G121" s="95">
        <f t="shared" si="18"/>
        <v>3.5</v>
      </c>
      <c r="H121" s="95">
        <f t="shared" si="18"/>
        <v>4.5</v>
      </c>
      <c r="I121" s="95">
        <f t="shared" si="18"/>
        <v>6</v>
      </c>
      <c r="J121" s="95">
        <f t="shared" si="18"/>
        <v>7</v>
      </c>
      <c r="K121" s="94"/>
    </row>
    <row r="122" spans="2:11" x14ac:dyDescent="0.2">
      <c r="C122" s="95">
        <f t="shared" si="18"/>
        <v>16</v>
      </c>
      <c r="D122" s="95">
        <f t="shared" si="18"/>
        <v>10</v>
      </c>
      <c r="E122" s="95">
        <f t="shared" si="18"/>
        <v>7</v>
      </c>
      <c r="F122" s="95">
        <f t="shared" si="18"/>
        <v>4</v>
      </c>
      <c r="G122" s="95">
        <f t="shared" si="18"/>
        <v>2</v>
      </c>
      <c r="H122" s="95">
        <f t="shared" si="18"/>
        <v>1</v>
      </c>
      <c r="I122" s="95">
        <f t="shared" si="18"/>
        <v>0.5</v>
      </c>
      <c r="J122" s="95">
        <f t="shared" si="18"/>
        <v>0.5</v>
      </c>
      <c r="K122" s="94"/>
    </row>
    <row r="123" spans="2:11" x14ac:dyDescent="0.2">
      <c r="C123" s="95">
        <f t="shared" si="18"/>
        <v>70</v>
      </c>
      <c r="D123" s="95">
        <f t="shared" si="18"/>
        <v>50</v>
      </c>
      <c r="E123" s="95">
        <f t="shared" si="18"/>
        <v>35</v>
      </c>
      <c r="F123" s="95">
        <f t="shared" si="18"/>
        <v>20</v>
      </c>
      <c r="G123" s="95">
        <f t="shared" si="18"/>
        <v>10</v>
      </c>
      <c r="H123" s="95">
        <f t="shared" si="18"/>
        <v>5</v>
      </c>
      <c r="I123" s="95">
        <f t="shared" si="18"/>
        <v>2.5</v>
      </c>
      <c r="J123" s="95">
        <f t="shared" si="18"/>
        <v>2.5</v>
      </c>
      <c r="K123" s="94"/>
    </row>
    <row r="124" spans="2:11" x14ac:dyDescent="0.2">
      <c r="C124" s="96"/>
      <c r="D124" s="96"/>
      <c r="E124" s="97"/>
      <c r="F124" s="97"/>
      <c r="G124" s="97"/>
      <c r="H124" s="96"/>
      <c r="I124" s="96"/>
      <c r="K124" s="94"/>
    </row>
    <row r="125" spans="2:11" x14ac:dyDescent="0.2">
      <c r="C125" s="96" t="str">
        <f>IFERROR(
  --SUBSTITUTE(SUBSTITUTE(SUBSTITUTE(SUBSTITUTE(SUBSTITUTE(SUBSTITUTE(SUBSTITUTE(SUBSTITUTE(
      MID(C107, FIND("-", C107) + 1, 99),
  "&gt;",""),"&lt;",""),"≥",""),"x",""),"%","")," ",""),"(",""),")",""),
"")</f>
        <v/>
      </c>
      <c r="D125" s="96">
        <f>IFERROR(
  --SUBSTITUTE(SUBSTITUTE(SUBSTITUTE(SUBSTITUTE(SUBSTITUTE(SUBSTITUTE(SUBSTITUTE(SUBSTITUTE(
      MID(D107, FIND("-", D107) + 1, 99),
  "&gt;",""),"&lt;",""),"≥",""),"x",""),"%","")," ",""),"(",""),")",""),
"")</f>
        <v>40</v>
      </c>
      <c r="E125" s="96">
        <f t="shared" ref="E125:J125" si="19">IFERROR(
  --SUBSTITUTE(SUBSTITUTE(SUBSTITUTE(SUBSTITUTE(SUBSTITUTE(SUBSTITUTE(SUBSTITUTE(SUBSTITUTE(
      MID(E107, FIND("-", E107) + 1, 99),
  "&gt;",""),"&lt;",""),"≥",""),"x",""),"%","")," ",""),"(",""),")",""),
"")</f>
        <v>20</v>
      </c>
      <c r="F125" s="96">
        <f t="shared" si="19"/>
        <v>10</v>
      </c>
      <c r="G125" s="96">
        <f t="shared" si="19"/>
        <v>3</v>
      </c>
      <c r="H125" s="96">
        <f t="shared" si="19"/>
        <v>1.25</v>
      </c>
      <c r="I125" s="96">
        <f t="shared" si="19"/>
        <v>0.25</v>
      </c>
      <c r="J125" s="96" t="str">
        <f t="shared" si="19"/>
        <v/>
      </c>
      <c r="K125" s="94"/>
    </row>
    <row r="126" spans="2:11" x14ac:dyDescent="0.2">
      <c r="C126" s="96" t="str">
        <f t="shared" ref="C126:J132" si="20">IFERROR(
  --SUBSTITUTE(SUBSTITUTE(SUBSTITUTE(SUBSTITUTE(SUBSTITUTE(SUBSTITUTE(SUBSTITUTE(SUBSTITUTE(
      MID(C108, FIND("-", C108) + 1, 99),
  "&gt;",""),"&lt;",""),"≥",""),"x",""),"%","")," ",""),"(",""),")",""),
"")</f>
        <v/>
      </c>
      <c r="D126" s="96">
        <f t="shared" si="20"/>
        <v>30</v>
      </c>
      <c r="E126" s="96">
        <f t="shared" si="20"/>
        <v>24</v>
      </c>
      <c r="F126" s="96">
        <f t="shared" si="20"/>
        <v>18</v>
      </c>
      <c r="G126" s="96">
        <f t="shared" si="20"/>
        <v>12.5</v>
      </c>
      <c r="H126" s="96">
        <f t="shared" si="20"/>
        <v>7.5</v>
      </c>
      <c r="I126" s="96">
        <f t="shared" si="20"/>
        <v>2.5</v>
      </c>
      <c r="J126" s="96" t="str">
        <f t="shared" si="20"/>
        <v/>
      </c>
      <c r="K126" s="94"/>
    </row>
    <row r="127" spans="2:11" x14ac:dyDescent="0.2">
      <c r="C127" s="96" t="str">
        <f t="shared" si="20"/>
        <v/>
      </c>
      <c r="D127" s="96">
        <f t="shared" si="20"/>
        <v>5</v>
      </c>
      <c r="E127" s="96">
        <f t="shared" si="20"/>
        <v>10</v>
      </c>
      <c r="F127" s="96">
        <f t="shared" si="20"/>
        <v>17.5</v>
      </c>
      <c r="G127" s="96">
        <f t="shared" si="20"/>
        <v>25</v>
      </c>
      <c r="H127" s="96">
        <f t="shared" si="20"/>
        <v>40</v>
      </c>
      <c r="I127" s="96">
        <f t="shared" si="20"/>
        <v>50</v>
      </c>
      <c r="J127" s="96" t="str">
        <f t="shared" si="20"/>
        <v/>
      </c>
      <c r="K127" s="94"/>
    </row>
    <row r="128" spans="2:11" x14ac:dyDescent="0.2">
      <c r="C128" s="96" t="str">
        <f t="shared" si="20"/>
        <v/>
      </c>
      <c r="D128" s="96">
        <f>IFERROR(
  --SUBSTITUTE(SUBSTITUTE(SUBSTITUTE(SUBSTITUTE(SUBSTITUTE(SUBSTITUTE(SUBSTITUTE(SUBSTITUTE(
      MID(D110, FIND("-", D110) + 1, 99),
  "&gt;",""),"&lt;",""),"≥",""),"x",""),"%","")," ",""),"(",""),")",""),
"")</f>
        <v>25</v>
      </c>
      <c r="E128" s="96">
        <f t="shared" si="20"/>
        <v>16</v>
      </c>
      <c r="F128" s="96">
        <f t="shared" si="20"/>
        <v>11</v>
      </c>
      <c r="G128" s="96">
        <f t="shared" si="20"/>
        <v>7</v>
      </c>
      <c r="H128" s="96">
        <f t="shared" si="20"/>
        <v>4</v>
      </c>
      <c r="I128" s="96">
        <f t="shared" si="20"/>
        <v>2</v>
      </c>
      <c r="J128" s="96" t="str">
        <f t="shared" si="20"/>
        <v/>
      </c>
      <c r="K128" s="94"/>
    </row>
    <row r="129" spans="3:10" x14ac:dyDescent="0.2">
      <c r="C129" s="96" t="str">
        <f t="shared" si="20"/>
        <v/>
      </c>
      <c r="D129" s="96">
        <f t="shared" si="20"/>
        <v>20</v>
      </c>
      <c r="E129" s="96">
        <f t="shared" si="20"/>
        <v>30</v>
      </c>
      <c r="F129" s="96">
        <f t="shared" si="20"/>
        <v>45</v>
      </c>
      <c r="G129" s="96">
        <f t="shared" si="20"/>
        <v>65</v>
      </c>
      <c r="H129" s="96">
        <f t="shared" si="20"/>
        <v>80</v>
      </c>
      <c r="I129" s="96">
        <f t="shared" si="20"/>
        <v>100</v>
      </c>
      <c r="J129" s="96" t="str">
        <f t="shared" si="20"/>
        <v/>
      </c>
    </row>
    <row r="130" spans="3:10" x14ac:dyDescent="0.2">
      <c r="C130" s="96" t="str">
        <f t="shared" si="20"/>
        <v/>
      </c>
      <c r="D130" s="96">
        <f t="shared" si="20"/>
        <v>1.75</v>
      </c>
      <c r="E130" s="96">
        <f t="shared" si="20"/>
        <v>2.5</v>
      </c>
      <c r="F130" s="96">
        <f t="shared" si="20"/>
        <v>3.5</v>
      </c>
      <c r="G130" s="96">
        <f t="shared" si="20"/>
        <v>4.5</v>
      </c>
      <c r="H130" s="96">
        <f t="shared" si="20"/>
        <v>6</v>
      </c>
      <c r="I130" s="96">
        <f t="shared" si="20"/>
        <v>7</v>
      </c>
      <c r="J130" s="96" t="str">
        <f t="shared" si="20"/>
        <v/>
      </c>
    </row>
    <row r="131" spans="3:10" x14ac:dyDescent="0.2">
      <c r="C131" s="96" t="str">
        <f t="shared" si="20"/>
        <v/>
      </c>
      <c r="D131" s="96">
        <f t="shared" si="20"/>
        <v>16</v>
      </c>
      <c r="E131" s="96">
        <f t="shared" si="20"/>
        <v>10</v>
      </c>
      <c r="F131" s="96">
        <f t="shared" si="20"/>
        <v>7</v>
      </c>
      <c r="G131" s="96">
        <f t="shared" si="20"/>
        <v>4</v>
      </c>
      <c r="H131" s="96">
        <f t="shared" si="20"/>
        <v>2</v>
      </c>
      <c r="I131" s="96">
        <f t="shared" si="20"/>
        <v>1</v>
      </c>
      <c r="J131" s="96" t="str">
        <f t="shared" si="20"/>
        <v/>
      </c>
    </row>
    <row r="132" spans="3:10" x14ac:dyDescent="0.2">
      <c r="C132" s="96" t="str">
        <f t="shared" si="20"/>
        <v/>
      </c>
      <c r="D132" s="96">
        <f t="shared" si="20"/>
        <v>70</v>
      </c>
      <c r="E132" s="96">
        <f t="shared" si="20"/>
        <v>50</v>
      </c>
      <c r="F132" s="96">
        <f t="shared" si="20"/>
        <v>35</v>
      </c>
      <c r="G132" s="96">
        <f t="shared" si="20"/>
        <v>20</v>
      </c>
      <c r="H132" s="96">
        <f t="shared" si="20"/>
        <v>10</v>
      </c>
      <c r="I132" s="96">
        <f t="shared" si="20"/>
        <v>5</v>
      </c>
      <c r="J132" s="96" t="str">
        <f t="shared" si="20"/>
        <v/>
      </c>
    </row>
  </sheetData>
  <dataValidations disablePrompts="1" count="1">
    <dataValidation type="list" allowBlank="1" showInputMessage="1" showErrorMessage="1" sqref="C6" xr:uid="{83C5E455-19D9-46BC-B939-EE5DC6E7B568}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8957-D0ED-4E7B-A394-0EBFE4C57659}">
  <dimension ref="B2:S48"/>
  <sheetViews>
    <sheetView workbookViewId="0">
      <selection activeCell="I1048561" sqref="I1048561"/>
    </sheetView>
  </sheetViews>
  <sheetFormatPr defaultRowHeight="12.75" x14ac:dyDescent="0.2"/>
  <cols>
    <col min="1" max="1" width="8.83203125" customWidth="1"/>
    <col min="2" max="2" width="22.6640625" bestFit="1" customWidth="1"/>
    <col min="3" max="3" width="21.83203125" customWidth="1"/>
    <col min="4" max="4" width="8.33203125" customWidth="1"/>
    <col min="6" max="6" width="9.33203125" style="6"/>
    <col min="7" max="7" width="11.33203125" style="6" bestFit="1" customWidth="1"/>
    <col min="8" max="8" width="9.33203125" style="6"/>
    <col min="9" max="9" width="30.5" bestFit="1" customWidth="1"/>
    <col min="10" max="10" width="39.1640625" bestFit="1" customWidth="1"/>
  </cols>
  <sheetData>
    <row r="2" spans="2:19" ht="13.5" x14ac:dyDescent="0.2">
      <c r="I2" s="8" t="s">
        <v>0</v>
      </c>
      <c r="J2" s="9"/>
      <c r="L2" s="14" t="s">
        <v>54</v>
      </c>
      <c r="M2" s="5" t="s">
        <v>55</v>
      </c>
      <c r="N2" s="5" t="s">
        <v>56</v>
      </c>
      <c r="O2" s="5" t="s">
        <v>57</v>
      </c>
      <c r="P2" s="5" t="s">
        <v>58</v>
      </c>
      <c r="Q2" s="5" t="s">
        <v>59</v>
      </c>
      <c r="R2" s="5" t="s">
        <v>60</v>
      </c>
      <c r="S2" s="5" t="s">
        <v>61</v>
      </c>
    </row>
    <row r="3" spans="2:19" ht="13.5" x14ac:dyDescent="0.2">
      <c r="I3" s="10" t="s">
        <v>1</v>
      </c>
      <c r="J3" s="10" t="s">
        <v>2</v>
      </c>
      <c r="L3" s="7">
        <v>1</v>
      </c>
      <c r="M3" s="7">
        <v>3</v>
      </c>
      <c r="N3" s="7">
        <v>6</v>
      </c>
      <c r="O3" s="7">
        <v>9</v>
      </c>
      <c r="P3" s="7">
        <v>12</v>
      </c>
      <c r="Q3" s="7">
        <v>15</v>
      </c>
      <c r="R3" s="7">
        <v>18</v>
      </c>
      <c r="S3" s="7">
        <v>20</v>
      </c>
    </row>
    <row r="4" spans="2:19" ht="13.5" x14ac:dyDescent="0.2">
      <c r="I4" s="1" t="s">
        <v>3</v>
      </c>
      <c r="J4" s="1" t="s">
        <v>4</v>
      </c>
    </row>
    <row r="5" spans="2:19" ht="13.5" x14ac:dyDescent="0.2">
      <c r="I5" s="2" t="s">
        <v>5</v>
      </c>
      <c r="J5" s="2" t="s">
        <v>6</v>
      </c>
      <c r="K5">
        <v>1.5</v>
      </c>
    </row>
    <row r="6" spans="2:19" ht="13.5" x14ac:dyDescent="0.2">
      <c r="I6" s="3" t="s">
        <v>7</v>
      </c>
      <c r="J6" s="3" t="s">
        <v>8</v>
      </c>
      <c r="K6">
        <v>2.5</v>
      </c>
    </row>
    <row r="7" spans="2:19" ht="13.5" x14ac:dyDescent="0.2">
      <c r="I7" s="4" t="s">
        <v>9</v>
      </c>
      <c r="J7" s="4" t="s">
        <v>10</v>
      </c>
      <c r="K7">
        <f>K6+1</f>
        <v>3.5</v>
      </c>
    </row>
    <row r="8" spans="2:19" ht="13.5" x14ac:dyDescent="0.2">
      <c r="I8" s="2" t="s">
        <v>11</v>
      </c>
      <c r="J8" s="2" t="s">
        <v>12</v>
      </c>
      <c r="K8">
        <f t="shared" ref="K8:K23" si="0">K7+1</f>
        <v>4.5</v>
      </c>
    </row>
    <row r="9" spans="2:19" ht="13.5" x14ac:dyDescent="0.2">
      <c r="I9" s="3" t="s">
        <v>13</v>
      </c>
      <c r="J9" s="3" t="s">
        <v>14</v>
      </c>
      <c r="K9">
        <f t="shared" si="0"/>
        <v>5.5</v>
      </c>
    </row>
    <row r="10" spans="2:19" ht="13.5" x14ac:dyDescent="0.2">
      <c r="I10" s="4" t="s">
        <v>15</v>
      </c>
      <c r="J10" s="4" t="s">
        <v>16</v>
      </c>
      <c r="K10">
        <f t="shared" si="0"/>
        <v>6.5</v>
      </c>
    </row>
    <row r="11" spans="2:19" ht="13.5" x14ac:dyDescent="0.2">
      <c r="I11" s="2" t="s">
        <v>17</v>
      </c>
      <c r="J11" s="2" t="s">
        <v>18</v>
      </c>
      <c r="K11">
        <f t="shared" si="0"/>
        <v>7.5</v>
      </c>
    </row>
    <row r="12" spans="2:19" ht="13.5" x14ac:dyDescent="0.2">
      <c r="F12" s="6" t="s">
        <v>52</v>
      </c>
      <c r="G12" s="6" t="s">
        <v>53</v>
      </c>
      <c r="I12" s="3" t="s">
        <v>19</v>
      </c>
      <c r="J12" s="3" t="s">
        <v>20</v>
      </c>
      <c r="K12">
        <f t="shared" si="0"/>
        <v>8.5</v>
      </c>
    </row>
    <row r="13" spans="2:19" ht="13.5" x14ac:dyDescent="0.2">
      <c r="B13" t="s">
        <v>47</v>
      </c>
      <c r="C13" t="s">
        <v>65</v>
      </c>
      <c r="D13" t="e">
        <f>INDEX(#REF!, MATCH(C13, INDEX(#REF!, MATCH(B13,#REF!, 0), 0), 0))</f>
        <v>#REF!</v>
      </c>
      <c r="E13" s="12">
        <v>0.2</v>
      </c>
      <c r="F13" s="6" t="str">
        <f t="shared" ref="F13:F20" si="1">IFERROR(INDEX($L$3:$S$3, MATCH(D13, $L$2:$S$2, 0)),"")</f>
        <v/>
      </c>
      <c r="I13" s="4" t="s">
        <v>21</v>
      </c>
      <c r="J13" s="4" t="s">
        <v>22</v>
      </c>
      <c r="K13">
        <f t="shared" si="0"/>
        <v>9.5</v>
      </c>
      <c r="L13" s="13"/>
      <c r="M13" s="13"/>
      <c r="N13" s="13"/>
      <c r="O13" s="13"/>
      <c r="P13" s="13"/>
      <c r="Q13" s="13"/>
      <c r="R13" s="13"/>
      <c r="S13" s="13"/>
    </row>
    <row r="14" spans="2:19" ht="14.25" thickBot="1" x14ac:dyDescent="0.25">
      <c r="B14" t="s">
        <v>43</v>
      </c>
      <c r="D14" t="str">
        <f>IFERROR(INDEX(#REF!, MATCH(C14, INDEX(#REF!, MATCH(B14,#REF!, 0), 0), 0)),"")</f>
        <v/>
      </c>
      <c r="E14" s="12">
        <v>0.15</v>
      </c>
      <c r="F14" s="6" t="str">
        <f t="shared" si="1"/>
        <v/>
      </c>
      <c r="I14" s="2" t="s">
        <v>23</v>
      </c>
      <c r="J14" s="2" t="s">
        <v>24</v>
      </c>
      <c r="K14">
        <f t="shared" si="0"/>
        <v>10.5</v>
      </c>
      <c r="N14" s="15" t="s">
        <v>68</v>
      </c>
      <c r="O14" s="16">
        <v>123.81081081081081</v>
      </c>
      <c r="P14" s="16">
        <v>146.39189189189187</v>
      </c>
      <c r="Q14" s="16">
        <v>176.7162162162162</v>
      </c>
      <c r="R14" s="15"/>
      <c r="S14" s="15"/>
    </row>
    <row r="15" spans="2:19" ht="14.25" thickTop="1" x14ac:dyDescent="0.2">
      <c r="B15" t="s">
        <v>44</v>
      </c>
      <c r="D15" t="str">
        <f>IFERROR(INDEX(#REF!, MATCH(C15, INDEX(#REF!, MATCH(B15,#REF!, 0), 0), 0)),"")</f>
        <v/>
      </c>
      <c r="E15" s="12">
        <v>0.05</v>
      </c>
      <c r="F15" s="6" t="str">
        <f t="shared" si="1"/>
        <v/>
      </c>
      <c r="I15" s="3" t="s">
        <v>25</v>
      </c>
      <c r="J15" s="3" t="s">
        <v>26</v>
      </c>
      <c r="K15">
        <f t="shared" si="0"/>
        <v>11.5</v>
      </c>
      <c r="N15" s="17" t="s">
        <v>69</v>
      </c>
      <c r="O15" s="18"/>
      <c r="P15" s="18"/>
      <c r="Q15" s="18"/>
      <c r="R15" s="18"/>
      <c r="S15" s="19"/>
    </row>
    <row r="16" spans="2:19" ht="13.5" x14ac:dyDescent="0.2">
      <c r="B16" t="s">
        <v>45</v>
      </c>
      <c r="C16" t="s">
        <v>63</v>
      </c>
      <c r="D16" t="str">
        <f>IFERROR(INDEX(#REF!, MATCH(C16, INDEX(#REF!, MATCH(B16,#REF!, 0), 0), 0)),"")</f>
        <v/>
      </c>
      <c r="E16" s="12">
        <v>0.1</v>
      </c>
      <c r="F16" s="6" t="str">
        <f t="shared" si="1"/>
        <v/>
      </c>
      <c r="I16" s="4" t="s">
        <v>27</v>
      </c>
      <c r="J16" s="4" t="s">
        <v>28</v>
      </c>
      <c r="K16">
        <f t="shared" si="0"/>
        <v>12.5</v>
      </c>
      <c r="N16" s="20"/>
      <c r="O16" s="21" t="s">
        <v>70</v>
      </c>
      <c r="P16" s="21" t="s">
        <v>71</v>
      </c>
      <c r="Q16" s="21" t="s">
        <v>72</v>
      </c>
      <c r="R16" s="21" t="s">
        <v>73</v>
      </c>
      <c r="S16" s="22" t="s">
        <v>74</v>
      </c>
    </row>
    <row r="17" spans="2:19" ht="13.5" x14ac:dyDescent="0.2">
      <c r="B17" t="s">
        <v>48</v>
      </c>
      <c r="C17" t="s">
        <v>66</v>
      </c>
      <c r="D17" t="str">
        <f>IFERROR(INDEX(#REF!, MATCH(C17, INDEX(#REF!, MATCH(B17,#REF!, 0), 0), 0)),"")</f>
        <v/>
      </c>
      <c r="E17" s="12">
        <v>0.15</v>
      </c>
      <c r="F17" s="6" t="str">
        <f t="shared" si="1"/>
        <v/>
      </c>
      <c r="I17" s="11" t="s">
        <v>42</v>
      </c>
      <c r="J17" s="2" t="s">
        <v>29</v>
      </c>
      <c r="K17">
        <f t="shared" si="0"/>
        <v>13.5</v>
      </c>
      <c r="N17" s="20" t="s">
        <v>75</v>
      </c>
      <c r="O17" s="23" t="s">
        <v>76</v>
      </c>
      <c r="P17" s="24" t="s">
        <v>77</v>
      </c>
      <c r="Q17" s="24" t="s">
        <v>78</v>
      </c>
      <c r="R17" s="24" t="s">
        <v>79</v>
      </c>
      <c r="S17" s="25" t="s">
        <v>80</v>
      </c>
    </row>
    <row r="18" spans="2:19" ht="14.25" thickBot="1" x14ac:dyDescent="0.25">
      <c r="B18" t="s">
        <v>50</v>
      </c>
      <c r="C18" t="s">
        <v>67</v>
      </c>
      <c r="D18" t="str">
        <f>IFERROR(INDEX(#REF!, MATCH(C18, INDEX(#REF!, MATCH(B18,#REF!, 0), 0), 0)),"")</f>
        <v/>
      </c>
      <c r="E18" s="12">
        <v>0.15</v>
      </c>
      <c r="F18" s="6" t="str">
        <f t="shared" si="1"/>
        <v/>
      </c>
      <c r="I18" s="3" t="s">
        <v>30</v>
      </c>
      <c r="J18" s="3" t="s">
        <v>31</v>
      </c>
      <c r="K18">
        <f t="shared" si="0"/>
        <v>14.5</v>
      </c>
      <c r="N18" s="20" t="s">
        <v>81</v>
      </c>
      <c r="O18" s="24" t="s">
        <v>82</v>
      </c>
      <c r="P18" s="24" t="s">
        <v>83</v>
      </c>
      <c r="Q18" s="24" t="s">
        <v>84</v>
      </c>
      <c r="R18" s="24" t="s">
        <v>85</v>
      </c>
      <c r="S18" s="25" t="s">
        <v>86</v>
      </c>
    </row>
    <row r="19" spans="2:19" ht="14.25" thickBot="1" x14ac:dyDescent="0.25">
      <c r="B19" t="s">
        <v>51</v>
      </c>
      <c r="C19" t="s">
        <v>64</v>
      </c>
      <c r="D19" t="str">
        <f>IFERROR(INDEX(#REF!, MATCH(C19, INDEX(#REF!, MATCH(B19,#REF!, 0), 0), 0)),"")</f>
        <v/>
      </c>
      <c r="E19" s="12">
        <v>0.1</v>
      </c>
      <c r="F19" s="6" t="str">
        <f t="shared" si="1"/>
        <v/>
      </c>
      <c r="I19" s="4" t="s">
        <v>32</v>
      </c>
      <c r="J19" s="4" t="s">
        <v>33</v>
      </c>
      <c r="K19">
        <f t="shared" si="0"/>
        <v>15.5</v>
      </c>
      <c r="N19" s="20" t="s">
        <v>87</v>
      </c>
      <c r="O19" s="26" t="s">
        <v>77</v>
      </c>
      <c r="P19" s="27" t="s">
        <v>88</v>
      </c>
      <c r="Q19" s="28" t="s">
        <v>89</v>
      </c>
      <c r="R19" s="24" t="s">
        <v>90</v>
      </c>
      <c r="S19" s="25" t="s">
        <v>91</v>
      </c>
    </row>
    <row r="20" spans="2:19" ht="13.5" x14ac:dyDescent="0.2">
      <c r="B20" t="s">
        <v>46</v>
      </c>
      <c r="D20" t="str">
        <f>IFERROR(INDEX(#REF!, MATCH(C20, INDEX(#REF!, MATCH(B20,#REF!, 0), 0), 0)),"")</f>
        <v/>
      </c>
      <c r="E20" s="12">
        <v>0.1</v>
      </c>
      <c r="F20" s="6" t="str">
        <f t="shared" si="1"/>
        <v/>
      </c>
      <c r="I20" s="2" t="s">
        <v>34</v>
      </c>
      <c r="J20" s="2" t="s">
        <v>35</v>
      </c>
      <c r="K20">
        <f t="shared" si="0"/>
        <v>16.5</v>
      </c>
      <c r="N20" s="20" t="s">
        <v>92</v>
      </c>
      <c r="O20" s="23" t="s">
        <v>93</v>
      </c>
      <c r="P20" s="24" t="s">
        <v>94</v>
      </c>
      <c r="Q20" s="24" t="s">
        <v>95</v>
      </c>
      <c r="R20" s="24" t="s">
        <v>96</v>
      </c>
      <c r="S20" s="25" t="s">
        <v>97</v>
      </c>
    </row>
    <row r="21" spans="2:19" ht="13.5" x14ac:dyDescent="0.2">
      <c r="F21" s="6">
        <f>SUMPRODUCT(F13:F20,E13:E20)</f>
        <v>0</v>
      </c>
      <c r="I21" s="3" t="s">
        <v>36</v>
      </c>
      <c r="J21" s="3" t="s">
        <v>37</v>
      </c>
      <c r="K21">
        <f t="shared" si="0"/>
        <v>17.5</v>
      </c>
      <c r="N21" s="20" t="s">
        <v>98</v>
      </c>
      <c r="O21" s="24" t="s">
        <v>99</v>
      </c>
      <c r="P21" s="24" t="s">
        <v>100</v>
      </c>
      <c r="Q21" s="24" t="s">
        <v>101</v>
      </c>
      <c r="R21" s="24" t="s">
        <v>102</v>
      </c>
      <c r="S21" s="25" t="s">
        <v>103</v>
      </c>
    </row>
    <row r="22" spans="2:19" ht="14.25" thickBot="1" x14ac:dyDescent="0.25">
      <c r="E22" t="s">
        <v>62</v>
      </c>
      <c r="F22" s="6" t="e">
        <f>INDEX($I$4:$I$23, MATCH(F21, $K$4:$K$23, 1))</f>
        <v>#N/A</v>
      </c>
      <c r="I22" s="4" t="s">
        <v>38</v>
      </c>
      <c r="J22" s="4" t="s">
        <v>39</v>
      </c>
      <c r="K22">
        <f t="shared" si="0"/>
        <v>18.5</v>
      </c>
      <c r="N22" s="29" t="s">
        <v>104</v>
      </c>
      <c r="O22" s="30"/>
      <c r="P22" s="30"/>
      <c r="Q22" s="30"/>
      <c r="R22" s="30"/>
      <c r="S22" s="31"/>
    </row>
    <row r="23" spans="2:19" ht="14.25" thickTop="1" x14ac:dyDescent="0.2">
      <c r="I23" s="1" t="s">
        <v>40</v>
      </c>
      <c r="J23" s="1" t="s">
        <v>41</v>
      </c>
      <c r="K23">
        <f t="shared" si="0"/>
        <v>19.5</v>
      </c>
      <c r="N23" s="15"/>
      <c r="O23" s="15"/>
      <c r="P23" s="15"/>
      <c r="Q23" s="15"/>
      <c r="R23" s="15"/>
      <c r="S23" s="15"/>
    </row>
    <row r="27" spans="2:19" ht="13.5" customHeight="1" x14ac:dyDescent="0.2"/>
    <row r="28" spans="2:19" x14ac:dyDescent="0.2">
      <c r="I28" t="s">
        <v>105</v>
      </c>
      <c r="J28" t="s">
        <v>106</v>
      </c>
    </row>
    <row r="29" spans="2:19" ht="13.5" customHeight="1" x14ac:dyDescent="0.2">
      <c r="I29" t="s">
        <v>54</v>
      </c>
      <c r="J29" t="s">
        <v>107</v>
      </c>
    </row>
    <row r="30" spans="2:19" ht="13.5" customHeight="1" x14ac:dyDescent="0.2">
      <c r="I30" t="s">
        <v>108</v>
      </c>
      <c r="J30" t="s">
        <v>109</v>
      </c>
    </row>
    <row r="31" spans="2:19" ht="13.5" customHeight="1" x14ac:dyDescent="0.2">
      <c r="I31" t="s">
        <v>110</v>
      </c>
      <c r="J31" t="s">
        <v>111</v>
      </c>
    </row>
    <row r="32" spans="2:19" ht="13.5" customHeight="1" x14ac:dyDescent="0.2">
      <c r="I32" t="s">
        <v>112</v>
      </c>
      <c r="J32" t="s">
        <v>113</v>
      </c>
    </row>
    <row r="33" spans="9:10" ht="13.5" customHeight="1" x14ac:dyDescent="0.2">
      <c r="I33" t="s">
        <v>114</v>
      </c>
      <c r="J33" t="s">
        <v>115</v>
      </c>
    </row>
    <row r="34" spans="9:10" ht="13.5" customHeight="1" x14ac:dyDescent="0.2">
      <c r="I34" t="s">
        <v>116</v>
      </c>
      <c r="J34" t="s">
        <v>56</v>
      </c>
    </row>
    <row r="35" spans="9:10" ht="13.5" customHeight="1" x14ac:dyDescent="0.2">
      <c r="I35" t="s">
        <v>117</v>
      </c>
      <c r="J35" t="s">
        <v>70</v>
      </c>
    </row>
    <row r="36" spans="9:10" ht="13.5" customHeight="1" x14ac:dyDescent="0.2">
      <c r="I36" t="s">
        <v>118</v>
      </c>
      <c r="J36" t="s">
        <v>71</v>
      </c>
    </row>
    <row r="37" spans="9:10" ht="13.5" customHeight="1" x14ac:dyDescent="0.2">
      <c r="I37" t="s">
        <v>119</v>
      </c>
      <c r="J37" t="s">
        <v>72</v>
      </c>
    </row>
    <row r="38" spans="9:10" ht="13.5" customHeight="1" x14ac:dyDescent="0.2">
      <c r="I38" t="s">
        <v>120</v>
      </c>
      <c r="J38" t="s">
        <v>73</v>
      </c>
    </row>
    <row r="39" spans="9:10" ht="13.5" customHeight="1" x14ac:dyDescent="0.2">
      <c r="I39" t="s">
        <v>121</v>
      </c>
      <c r="J39" t="s">
        <v>74</v>
      </c>
    </row>
    <row r="40" spans="9:10" ht="13.5" customHeight="1" x14ac:dyDescent="0.2">
      <c r="I40" t="s">
        <v>122</v>
      </c>
      <c r="J40" t="s">
        <v>123</v>
      </c>
    </row>
    <row r="41" spans="9:10" ht="13.5" customHeight="1" x14ac:dyDescent="0.2">
      <c r="I41" t="s">
        <v>124</v>
      </c>
      <c r="J41" t="s">
        <v>125</v>
      </c>
    </row>
    <row r="42" spans="9:10" ht="13.5" customHeight="1" x14ac:dyDescent="0.2">
      <c r="I42" t="s">
        <v>42</v>
      </c>
      <c r="J42" t="s">
        <v>126</v>
      </c>
    </row>
    <row r="43" spans="9:10" ht="13.5" customHeight="1" x14ac:dyDescent="0.2">
      <c r="I43" t="s">
        <v>127</v>
      </c>
      <c r="J43" t="s">
        <v>59</v>
      </c>
    </row>
    <row r="44" spans="9:10" x14ac:dyDescent="0.2">
      <c r="I44" t="s">
        <v>128</v>
      </c>
      <c r="J44" t="s">
        <v>129</v>
      </c>
    </row>
    <row r="45" spans="9:10" x14ac:dyDescent="0.2">
      <c r="I45" t="s">
        <v>130</v>
      </c>
      <c r="J45" t="s">
        <v>131</v>
      </c>
    </row>
    <row r="46" spans="9:10" x14ac:dyDescent="0.2">
      <c r="I46" t="s">
        <v>132</v>
      </c>
      <c r="J46" t="s">
        <v>133</v>
      </c>
    </row>
    <row r="47" spans="9:10" x14ac:dyDescent="0.2">
      <c r="I47" t="s">
        <v>134</v>
      </c>
      <c r="J47" t="s">
        <v>135</v>
      </c>
    </row>
    <row r="48" spans="9:10" x14ac:dyDescent="0.2">
      <c r="I48" t="s">
        <v>61</v>
      </c>
      <c r="J48" t="s">
        <v>136</v>
      </c>
    </row>
  </sheetData>
  <dataValidations disablePrompts="1" count="1">
    <dataValidation type="list" allowBlank="1" showInputMessage="1" showErrorMessage="1" sqref="C13:C20" xr:uid="{7D63C875-237A-4A24-B7EF-19005C7A6348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78"/>
  <sheetViews>
    <sheetView topLeftCell="A30" workbookViewId="0">
      <selection activeCell="I1048561" sqref="I1048561"/>
    </sheetView>
  </sheetViews>
  <sheetFormatPr defaultRowHeight="12.75" x14ac:dyDescent="0.2"/>
  <cols>
    <col min="1" max="1" width="8.83203125" style="32" customWidth="1"/>
    <col min="2" max="2" width="63.83203125" style="32" bestFit="1" customWidth="1"/>
    <col min="3" max="3" width="8.83203125" style="36" customWidth="1"/>
    <col min="4" max="4" width="8.33203125" style="32" customWidth="1"/>
    <col min="5" max="5" width="9.33203125" style="32"/>
    <col min="6" max="6" width="9.33203125" style="33"/>
    <col min="7" max="7" width="11.33203125" style="33" bestFit="1" customWidth="1"/>
    <col min="8" max="8" width="9.33203125" style="33"/>
    <col min="9" max="9" width="30.5" style="32" bestFit="1" customWidth="1"/>
    <col min="10" max="10" width="39.1640625" style="32" bestFit="1" customWidth="1"/>
    <col min="11" max="16384" width="9.33203125" style="32"/>
  </cols>
  <sheetData>
    <row r="2" spans="2:19" x14ac:dyDescent="0.2">
      <c r="B2" s="32" t="s">
        <v>161</v>
      </c>
    </row>
    <row r="3" spans="2:19" x14ac:dyDescent="0.2">
      <c r="I3" s="34"/>
      <c r="J3" s="35"/>
      <c r="L3" s="36"/>
      <c r="M3" s="36"/>
      <c r="N3" s="36"/>
      <c r="O3" s="36"/>
      <c r="P3" s="36"/>
      <c r="Q3" s="36"/>
      <c r="R3" s="36"/>
      <c r="S3" s="36"/>
    </row>
    <row r="4" spans="2:19" x14ac:dyDescent="0.2">
      <c r="I4" s="34"/>
      <c r="J4" s="35"/>
      <c r="L4" s="36"/>
      <c r="M4" s="36"/>
      <c r="N4" s="36"/>
      <c r="O4" s="36"/>
      <c r="P4" s="36"/>
      <c r="Q4" s="36"/>
      <c r="R4" s="36"/>
      <c r="S4" s="36"/>
    </row>
    <row r="5" spans="2:19" x14ac:dyDescent="0.2">
      <c r="I5" s="37" t="s">
        <v>171</v>
      </c>
      <c r="J5" s="38"/>
      <c r="L5" s="36" t="s">
        <v>54</v>
      </c>
      <c r="M5" s="36" t="s">
        <v>55</v>
      </c>
      <c r="N5" s="36" t="s">
        <v>56</v>
      </c>
      <c r="O5" s="36" t="s">
        <v>57</v>
      </c>
      <c r="P5" s="36" t="s">
        <v>58</v>
      </c>
      <c r="Q5" s="36" t="s">
        <v>59</v>
      </c>
      <c r="R5" s="36" t="s">
        <v>60</v>
      </c>
      <c r="S5" s="36" t="s">
        <v>61</v>
      </c>
    </row>
    <row r="6" spans="2:19" x14ac:dyDescent="0.2">
      <c r="B6" s="76" t="s">
        <v>147</v>
      </c>
      <c r="C6" s="78">
        <v>3</v>
      </c>
      <c r="I6" s="40" t="s">
        <v>192</v>
      </c>
      <c r="J6" s="40" t="s">
        <v>193</v>
      </c>
      <c r="L6" s="41">
        <v>1</v>
      </c>
      <c r="M6" s="41">
        <v>3</v>
      </c>
      <c r="N6" s="41">
        <v>6</v>
      </c>
      <c r="O6" s="41">
        <v>9</v>
      </c>
      <c r="P6" s="41">
        <v>12</v>
      </c>
      <c r="Q6" s="41">
        <v>15</v>
      </c>
      <c r="R6" s="41">
        <v>18</v>
      </c>
      <c r="S6" s="41">
        <v>20</v>
      </c>
    </row>
    <row r="7" spans="2:19" x14ac:dyDescent="0.2">
      <c r="I7" s="42" t="s">
        <v>54</v>
      </c>
      <c r="J7" s="42" t="s">
        <v>172</v>
      </c>
    </row>
    <row r="8" spans="2:19" x14ac:dyDescent="0.2">
      <c r="B8" s="76" t="s">
        <v>150</v>
      </c>
      <c r="C8" s="79">
        <v>195</v>
      </c>
      <c r="I8" s="43" t="s">
        <v>108</v>
      </c>
      <c r="J8" s="43" t="s">
        <v>173</v>
      </c>
      <c r="K8" s="32">
        <v>1.5</v>
      </c>
    </row>
    <row r="9" spans="2:19" x14ac:dyDescent="0.2">
      <c r="I9" s="44" t="s">
        <v>110</v>
      </c>
      <c r="J9" s="44" t="s">
        <v>174</v>
      </c>
      <c r="K9" s="32">
        <v>2.5</v>
      </c>
    </row>
    <row r="10" spans="2:19" x14ac:dyDescent="0.2">
      <c r="B10" s="76" t="s">
        <v>194</v>
      </c>
      <c r="C10" s="77">
        <v>25</v>
      </c>
      <c r="I10" s="45" t="s">
        <v>112</v>
      </c>
      <c r="J10" s="45" t="s">
        <v>175</v>
      </c>
      <c r="K10" s="32">
        <f>K9+1</f>
        <v>3.5</v>
      </c>
    </row>
    <row r="11" spans="2:19" x14ac:dyDescent="0.2">
      <c r="I11" s="43" t="s">
        <v>114</v>
      </c>
      <c r="J11" s="43" t="s">
        <v>176</v>
      </c>
      <c r="K11" s="32">
        <f t="shared" ref="K11:K26" si="0">K10+1</f>
        <v>4.5</v>
      </c>
    </row>
    <row r="12" spans="2:19" x14ac:dyDescent="0.2">
      <c r="B12" s="76" t="s">
        <v>169</v>
      </c>
      <c r="C12" s="77">
        <v>5</v>
      </c>
      <c r="D12" s="32" t="s">
        <v>170</v>
      </c>
      <c r="I12" s="44" t="s">
        <v>116</v>
      </c>
      <c r="J12" s="44" t="s">
        <v>177</v>
      </c>
      <c r="K12" s="32">
        <f t="shared" si="0"/>
        <v>5.5</v>
      </c>
    </row>
    <row r="13" spans="2:19" x14ac:dyDescent="0.2">
      <c r="C13" s="72"/>
      <c r="I13" s="45" t="s">
        <v>117</v>
      </c>
      <c r="J13" s="45" t="s">
        <v>178</v>
      </c>
      <c r="K13" s="32">
        <f t="shared" si="0"/>
        <v>6.5</v>
      </c>
    </row>
    <row r="14" spans="2:19" x14ac:dyDescent="0.2">
      <c r="B14" s="32" t="s">
        <v>196</v>
      </c>
      <c r="C14" s="71">
        <v>2</v>
      </c>
      <c r="I14" s="43" t="s">
        <v>118</v>
      </c>
      <c r="J14" s="43" t="s">
        <v>179</v>
      </c>
      <c r="K14" s="32">
        <f t="shared" si="0"/>
        <v>7.5</v>
      </c>
    </row>
    <row r="15" spans="2:19" x14ac:dyDescent="0.2">
      <c r="B15" s="69" t="s">
        <v>197</v>
      </c>
      <c r="C15" s="71">
        <v>5</v>
      </c>
      <c r="I15" s="44" t="s">
        <v>119</v>
      </c>
      <c r="J15" s="44" t="s">
        <v>180</v>
      </c>
      <c r="K15" s="32">
        <f t="shared" si="0"/>
        <v>8.5</v>
      </c>
    </row>
    <row r="16" spans="2:19" x14ac:dyDescent="0.2">
      <c r="B16" s="69" t="s">
        <v>198</v>
      </c>
      <c r="C16" s="73">
        <v>1</v>
      </c>
      <c r="I16" s="45" t="s">
        <v>120</v>
      </c>
      <c r="J16" s="45" t="s">
        <v>181</v>
      </c>
      <c r="K16" s="32">
        <f t="shared" si="0"/>
        <v>9.5</v>
      </c>
      <c r="L16" s="46"/>
      <c r="M16" s="46"/>
      <c r="N16" s="46"/>
      <c r="O16" s="46"/>
      <c r="P16" s="46"/>
      <c r="Q16" s="46"/>
      <c r="R16" s="46"/>
      <c r="S16" s="46"/>
    </row>
    <row r="17" spans="2:19" ht="13.5" thickBot="1" x14ac:dyDescent="0.25">
      <c r="B17" s="74" t="s">
        <v>195</v>
      </c>
      <c r="C17" s="75">
        <f>SUM(C14:C16)</f>
        <v>8</v>
      </c>
      <c r="I17" s="43" t="s">
        <v>121</v>
      </c>
      <c r="J17" s="43" t="s">
        <v>182</v>
      </c>
      <c r="K17" s="32">
        <f t="shared" si="0"/>
        <v>10.5</v>
      </c>
      <c r="N17" s="47" t="s">
        <v>68</v>
      </c>
      <c r="O17" s="48">
        <v>123.81081081081081</v>
      </c>
      <c r="P17" s="48">
        <v>146.39189189189187</v>
      </c>
      <c r="Q17" s="48">
        <v>176.7162162162162</v>
      </c>
      <c r="R17" s="47"/>
      <c r="S17" s="47"/>
    </row>
    <row r="18" spans="2:19" ht="13.5" thickTop="1" x14ac:dyDescent="0.2">
      <c r="C18" s="72"/>
      <c r="I18" s="44" t="s">
        <v>122</v>
      </c>
      <c r="J18" s="44" t="s">
        <v>183</v>
      </c>
      <c r="K18" s="32">
        <f t="shared" si="0"/>
        <v>11.5</v>
      </c>
      <c r="N18" s="49" t="s">
        <v>69</v>
      </c>
      <c r="O18" s="50"/>
      <c r="P18" s="50"/>
      <c r="Q18" s="50"/>
      <c r="R18" s="50"/>
      <c r="S18" s="51"/>
    </row>
    <row r="19" spans="2:19" x14ac:dyDescent="0.2">
      <c r="B19" s="32" t="s">
        <v>199</v>
      </c>
      <c r="C19" s="71">
        <v>1</v>
      </c>
      <c r="I19" s="45" t="s">
        <v>124</v>
      </c>
      <c r="J19" s="45" t="s">
        <v>184</v>
      </c>
      <c r="K19" s="32">
        <f t="shared" si="0"/>
        <v>12.5</v>
      </c>
      <c r="N19" s="52"/>
      <c r="O19" s="53" t="s">
        <v>70</v>
      </c>
      <c r="P19" s="53" t="s">
        <v>71</v>
      </c>
      <c r="Q19" s="53" t="s">
        <v>72</v>
      </c>
      <c r="R19" s="53" t="s">
        <v>73</v>
      </c>
      <c r="S19" s="54" t="s">
        <v>74</v>
      </c>
    </row>
    <row r="20" spans="2:19" x14ac:dyDescent="0.2">
      <c r="B20" s="69" t="s">
        <v>201</v>
      </c>
      <c r="C20" s="71">
        <v>1</v>
      </c>
      <c r="I20" s="43" t="s">
        <v>42</v>
      </c>
      <c r="J20" s="43" t="s">
        <v>185</v>
      </c>
      <c r="K20" s="32">
        <f t="shared" si="0"/>
        <v>13.5</v>
      </c>
      <c r="N20" s="39">
        <v>1</v>
      </c>
      <c r="O20" s="55" t="s">
        <v>76</v>
      </c>
      <c r="P20" s="56" t="s">
        <v>77</v>
      </c>
      <c r="Q20" s="56" t="s">
        <v>78</v>
      </c>
      <c r="R20" s="56" t="s">
        <v>79</v>
      </c>
      <c r="S20" s="57" t="s">
        <v>80</v>
      </c>
    </row>
    <row r="21" spans="2:19" ht="13.5" thickBot="1" x14ac:dyDescent="0.25">
      <c r="B21" s="69" t="s">
        <v>202</v>
      </c>
      <c r="C21" s="71">
        <v>5</v>
      </c>
      <c r="I21" s="44" t="s">
        <v>127</v>
      </c>
      <c r="J21" s="44" t="s">
        <v>186</v>
      </c>
      <c r="K21" s="32">
        <f t="shared" si="0"/>
        <v>14.5</v>
      </c>
      <c r="N21" s="39">
        <v>2</v>
      </c>
      <c r="O21" s="56" t="s">
        <v>82</v>
      </c>
      <c r="P21" s="56" t="s">
        <v>83</v>
      </c>
      <c r="Q21" s="56" t="s">
        <v>84</v>
      </c>
      <c r="R21" s="56" t="s">
        <v>85</v>
      </c>
      <c r="S21" s="57" t="s">
        <v>86</v>
      </c>
    </row>
    <row r="22" spans="2:19" ht="13.5" thickBot="1" x14ac:dyDescent="0.25">
      <c r="B22" s="32" t="s">
        <v>200</v>
      </c>
      <c r="C22" s="73">
        <v>10</v>
      </c>
      <c r="I22" s="45" t="s">
        <v>128</v>
      </c>
      <c r="J22" s="45" t="s">
        <v>187</v>
      </c>
      <c r="K22" s="32">
        <f t="shared" si="0"/>
        <v>15.5</v>
      </c>
      <c r="N22" s="39">
        <v>3</v>
      </c>
      <c r="O22" s="58" t="s">
        <v>77</v>
      </c>
      <c r="P22" s="59" t="s">
        <v>88</v>
      </c>
      <c r="Q22" s="60" t="s">
        <v>89</v>
      </c>
      <c r="R22" s="56" t="s">
        <v>90</v>
      </c>
      <c r="S22" s="57" t="s">
        <v>91</v>
      </c>
    </row>
    <row r="23" spans="2:19" x14ac:dyDescent="0.2">
      <c r="B23" s="74" t="s">
        <v>203</v>
      </c>
      <c r="C23" s="75">
        <f>SUM(C19:C22)</f>
        <v>17</v>
      </c>
      <c r="I23" s="43" t="s">
        <v>130</v>
      </c>
      <c r="J23" s="43" t="s">
        <v>188</v>
      </c>
      <c r="K23" s="32">
        <f t="shared" si="0"/>
        <v>16.5</v>
      </c>
      <c r="N23" s="39">
        <v>4</v>
      </c>
      <c r="O23" s="55" t="s">
        <v>93</v>
      </c>
      <c r="P23" s="56" t="s">
        <v>94</v>
      </c>
      <c r="Q23" s="56" t="s">
        <v>95</v>
      </c>
      <c r="R23" s="56" t="s">
        <v>96</v>
      </c>
      <c r="S23" s="57" t="s">
        <v>97</v>
      </c>
    </row>
    <row r="24" spans="2:19" x14ac:dyDescent="0.2">
      <c r="C24" s="32"/>
      <c r="I24" s="44" t="s">
        <v>132</v>
      </c>
      <c r="J24" s="44" t="s">
        <v>189</v>
      </c>
      <c r="K24" s="32">
        <f t="shared" si="0"/>
        <v>17.5</v>
      </c>
      <c r="N24" s="39">
        <v>5</v>
      </c>
      <c r="O24" s="56" t="s">
        <v>99</v>
      </c>
      <c r="P24" s="56" t="s">
        <v>100</v>
      </c>
      <c r="Q24" s="56" t="s">
        <v>101</v>
      </c>
      <c r="R24" s="56" t="s">
        <v>102</v>
      </c>
      <c r="S24" s="57" t="s">
        <v>103</v>
      </c>
    </row>
    <row r="25" spans="2:19" ht="13.5" thickBot="1" x14ac:dyDescent="0.25">
      <c r="I25" s="45" t="s">
        <v>134</v>
      </c>
      <c r="J25" s="45" t="s">
        <v>190</v>
      </c>
      <c r="K25" s="32">
        <f t="shared" si="0"/>
        <v>18.5</v>
      </c>
      <c r="N25" s="61" t="s">
        <v>104</v>
      </c>
      <c r="O25" s="62"/>
      <c r="P25" s="62"/>
      <c r="Q25" s="62"/>
      <c r="R25" s="62"/>
      <c r="S25" s="63"/>
    </row>
    <row r="26" spans="2:19" ht="13.5" thickTop="1" x14ac:dyDescent="0.2">
      <c r="B26" s="32" t="s">
        <v>203</v>
      </c>
      <c r="C26" s="80">
        <f>C23</f>
        <v>17</v>
      </c>
      <c r="I26" s="42" t="s">
        <v>61</v>
      </c>
      <c r="J26" s="42" t="s">
        <v>191</v>
      </c>
      <c r="K26" s="32">
        <f t="shared" si="0"/>
        <v>19.5</v>
      </c>
      <c r="N26" s="47"/>
      <c r="O26" s="47"/>
      <c r="P26" s="47"/>
      <c r="Q26" s="47"/>
      <c r="R26" s="47"/>
      <c r="S26" s="47"/>
    </row>
    <row r="27" spans="2:19" x14ac:dyDescent="0.2">
      <c r="B27" s="32" t="s">
        <v>206</v>
      </c>
      <c r="C27" s="71">
        <v>1</v>
      </c>
    </row>
    <row r="28" spans="2:19" x14ac:dyDescent="0.2">
      <c r="B28" s="32" t="s">
        <v>207</v>
      </c>
      <c r="C28" s="71">
        <v>0</v>
      </c>
    </row>
    <row r="29" spans="2:19" x14ac:dyDescent="0.2">
      <c r="B29" s="74" t="s">
        <v>208</v>
      </c>
      <c r="C29" s="75">
        <f>C26-SUM(C27:C28)</f>
        <v>16</v>
      </c>
    </row>
    <row r="30" spans="2:19" x14ac:dyDescent="0.2">
      <c r="C30" s="72"/>
    </row>
    <row r="31" spans="2:19" x14ac:dyDescent="0.2">
      <c r="B31" s="32" t="s">
        <v>196</v>
      </c>
      <c r="C31" s="71">
        <v>2</v>
      </c>
    </row>
    <row r="32" spans="2:19" x14ac:dyDescent="0.2">
      <c r="B32" s="69" t="s">
        <v>198</v>
      </c>
      <c r="C32" s="73">
        <v>1</v>
      </c>
    </row>
    <row r="33" spans="2:4" x14ac:dyDescent="0.2">
      <c r="B33" s="74" t="s">
        <v>204</v>
      </c>
      <c r="C33" s="75">
        <f>SUM(C31:C32)</f>
        <v>3</v>
      </c>
    </row>
    <row r="35" spans="2:4" x14ac:dyDescent="0.2">
      <c r="B35" s="76" t="s">
        <v>212</v>
      </c>
      <c r="C35" s="77">
        <v>15</v>
      </c>
      <c r="D35" s="32" t="s">
        <v>213</v>
      </c>
    </row>
    <row r="37" spans="2:4" x14ac:dyDescent="0.2">
      <c r="B37" s="32" t="str">
        <f>B35</f>
        <v>Cash Flow From Operations (CFO)</v>
      </c>
      <c r="C37" s="80">
        <f>C35</f>
        <v>15</v>
      </c>
    </row>
    <row r="38" spans="2:4" x14ac:dyDescent="0.2">
      <c r="B38" s="32" t="s">
        <v>216</v>
      </c>
      <c r="C38" s="71">
        <v>5</v>
      </c>
    </row>
    <row r="39" spans="2:4" x14ac:dyDescent="0.2">
      <c r="B39" s="32" t="s">
        <v>215</v>
      </c>
      <c r="C39" s="73">
        <v>6</v>
      </c>
    </row>
    <row r="40" spans="2:4" x14ac:dyDescent="0.2">
      <c r="B40" s="81" t="s">
        <v>217</v>
      </c>
      <c r="C40" s="82">
        <f>C39-C38</f>
        <v>1</v>
      </c>
    </row>
    <row r="41" spans="2:4" x14ac:dyDescent="0.2">
      <c r="B41" s="32" t="s">
        <v>218</v>
      </c>
      <c r="C41" s="71">
        <v>50</v>
      </c>
    </row>
    <row r="42" spans="2:4" x14ac:dyDescent="0.2">
      <c r="B42" s="32" t="s">
        <v>219</v>
      </c>
      <c r="C42" s="73">
        <v>40</v>
      </c>
    </row>
    <row r="43" spans="2:4" x14ac:dyDescent="0.2">
      <c r="B43" s="81" t="s">
        <v>220</v>
      </c>
      <c r="C43" s="82">
        <f>C42-C41</f>
        <v>-10</v>
      </c>
    </row>
    <row r="44" spans="2:4" x14ac:dyDescent="0.2">
      <c r="B44" s="66" t="s">
        <v>214</v>
      </c>
      <c r="C44" s="83">
        <f>C43+C40+C37</f>
        <v>6</v>
      </c>
    </row>
    <row r="45" spans="2:4" x14ac:dyDescent="0.2">
      <c r="C45" s="80"/>
    </row>
    <row r="46" spans="2:4" x14ac:dyDescent="0.2">
      <c r="B46" s="32" t="s">
        <v>214</v>
      </c>
      <c r="C46" s="80">
        <f>C44</f>
        <v>6</v>
      </c>
    </row>
    <row r="47" spans="2:4" x14ac:dyDescent="0.2">
      <c r="B47" s="69" t="s">
        <v>209</v>
      </c>
      <c r="C47" s="71">
        <v>1</v>
      </c>
    </row>
    <row r="48" spans="2:4" x14ac:dyDescent="0.2">
      <c r="B48" s="69" t="s">
        <v>210</v>
      </c>
      <c r="C48" s="71">
        <v>0</v>
      </c>
    </row>
    <row r="49" spans="2:10" x14ac:dyDescent="0.2">
      <c r="B49" s="69" t="s">
        <v>211</v>
      </c>
      <c r="C49" s="73">
        <v>0</v>
      </c>
    </row>
    <row r="50" spans="2:10" x14ac:dyDescent="0.2">
      <c r="B50" s="76" t="s">
        <v>221</v>
      </c>
      <c r="C50" s="75">
        <f>SUM(C46:C49)</f>
        <v>7</v>
      </c>
    </row>
    <row r="51" spans="2:10" ht="13.5" customHeight="1" x14ac:dyDescent="0.2">
      <c r="B51" s="32" t="s">
        <v>205</v>
      </c>
    </row>
    <row r="52" spans="2:10" x14ac:dyDescent="0.2">
      <c r="I52" s="32" t="s">
        <v>105</v>
      </c>
      <c r="J52" s="32" t="s">
        <v>106</v>
      </c>
    </row>
    <row r="53" spans="2:10" ht="13.5" customHeight="1" x14ac:dyDescent="0.2">
      <c r="F53" s="33" t="s">
        <v>52</v>
      </c>
      <c r="G53" s="33" t="s">
        <v>53</v>
      </c>
      <c r="I53" s="32" t="s">
        <v>54</v>
      </c>
      <c r="J53" s="32" t="s">
        <v>107</v>
      </c>
    </row>
    <row r="54" spans="2:10" ht="13.5" customHeight="1" x14ac:dyDescent="0.2">
      <c r="B54" s="32" t="s">
        <v>47</v>
      </c>
      <c r="C54" s="36" t="s">
        <v>153</v>
      </c>
      <c r="D54" s="32" t="e">
        <f>INDEX(#REF!, MATCH(C54, INDEX(#REF!, MATCH(B54,#REF!, 0), 0), 0))</f>
        <v>#REF!</v>
      </c>
      <c r="E54" s="64">
        <v>0.2</v>
      </c>
      <c r="F54" s="65" t="str">
        <f t="shared" ref="F54:F61" si="1">IFERROR(INDEX($L$6:$S$6, MATCH(D54, $L$5:$S$5, 0))*(100/70),"")</f>
        <v/>
      </c>
      <c r="I54" s="32" t="s">
        <v>108</v>
      </c>
      <c r="J54" s="32" t="s">
        <v>109</v>
      </c>
    </row>
    <row r="55" spans="2:10" ht="13.5" customHeight="1" x14ac:dyDescent="0.2">
      <c r="B55" s="32" t="s">
        <v>43</v>
      </c>
      <c r="D55" s="32" t="str">
        <f>IFERROR(INDEX(#REF!, MATCH(C55, INDEX(#REF!, MATCH(B55,#REF!, 0), 0), 0)),"")</f>
        <v/>
      </c>
      <c r="E55" s="64">
        <v>0.15</v>
      </c>
      <c r="F55" s="65" t="str">
        <f t="shared" si="1"/>
        <v/>
      </c>
      <c r="I55" s="32" t="s">
        <v>110</v>
      </c>
      <c r="J55" s="32" t="s">
        <v>111</v>
      </c>
    </row>
    <row r="56" spans="2:10" ht="13.5" customHeight="1" x14ac:dyDescent="0.2">
      <c r="B56" s="32" t="s">
        <v>44</v>
      </c>
      <c r="D56" s="32" t="str">
        <f>IFERROR(INDEX(#REF!, MATCH(C56, INDEX(#REF!, MATCH(B56,#REF!, 0), 0), 0)),"")</f>
        <v/>
      </c>
      <c r="E56" s="64">
        <v>0.05</v>
      </c>
      <c r="F56" s="65" t="str">
        <f t="shared" si="1"/>
        <v/>
      </c>
      <c r="I56" s="32" t="s">
        <v>112</v>
      </c>
      <c r="J56" s="32" t="s">
        <v>113</v>
      </c>
    </row>
    <row r="57" spans="2:10" ht="13.5" customHeight="1" x14ac:dyDescent="0.2">
      <c r="B57" s="32" t="s">
        <v>45</v>
      </c>
      <c r="C57" s="36" t="s">
        <v>140</v>
      </c>
      <c r="D57" s="32" t="str">
        <f>IFERROR(INDEX(#REF!, MATCH(C57, INDEX(#REF!, MATCH(B57,#REF!, 0), 0), 0)),"")</f>
        <v/>
      </c>
      <c r="E57" s="64">
        <v>0.1</v>
      </c>
      <c r="F57" s="65" t="str">
        <f t="shared" si="1"/>
        <v/>
      </c>
      <c r="I57" s="32" t="s">
        <v>114</v>
      </c>
      <c r="J57" s="32" t="s">
        <v>115</v>
      </c>
    </row>
    <row r="58" spans="2:10" ht="13.5" customHeight="1" x14ac:dyDescent="0.2">
      <c r="B58" s="32" t="s">
        <v>48</v>
      </c>
      <c r="C58" s="36" t="s">
        <v>149</v>
      </c>
      <c r="D58" s="32" t="str">
        <f>IFERROR(INDEX(#REF!, MATCH(C58, INDEX(#REF!, MATCH(B58,#REF!, 0), 0), 0)),"")</f>
        <v/>
      </c>
      <c r="E58" s="64">
        <v>0.15</v>
      </c>
      <c r="F58" s="65" t="str">
        <f t="shared" si="1"/>
        <v/>
      </c>
      <c r="I58" s="32" t="s">
        <v>116</v>
      </c>
      <c r="J58" s="32" t="s">
        <v>56</v>
      </c>
    </row>
    <row r="59" spans="2:10" ht="13.5" customHeight="1" x14ac:dyDescent="0.2">
      <c r="B59" s="32" t="s">
        <v>50</v>
      </c>
      <c r="C59" s="36" t="s">
        <v>145</v>
      </c>
      <c r="D59" s="32" t="str">
        <f>IFERROR(INDEX(#REF!, MATCH(C59, INDEX(#REF!, MATCH(B59,#REF!, 0), 0), 0)),"")</f>
        <v/>
      </c>
      <c r="E59" s="64">
        <v>0.15</v>
      </c>
      <c r="F59" s="65" t="str">
        <f t="shared" si="1"/>
        <v/>
      </c>
      <c r="I59" s="32" t="s">
        <v>117</v>
      </c>
      <c r="J59" s="32" t="s">
        <v>70</v>
      </c>
    </row>
    <row r="60" spans="2:10" ht="13.5" customHeight="1" x14ac:dyDescent="0.2">
      <c r="B60" s="32" t="s">
        <v>51</v>
      </c>
      <c r="C60" s="36" t="s">
        <v>146</v>
      </c>
      <c r="D60" s="32" t="str">
        <f>IFERROR(INDEX(#REF!, MATCH(C60, INDEX(#REF!, MATCH(B60,#REF!, 0), 0), 0)),"")</f>
        <v/>
      </c>
      <c r="E60" s="64">
        <v>0.1</v>
      </c>
      <c r="F60" s="65" t="str">
        <f t="shared" si="1"/>
        <v/>
      </c>
      <c r="I60" s="32" t="s">
        <v>118</v>
      </c>
      <c r="J60" s="32" t="s">
        <v>71</v>
      </c>
    </row>
    <row r="61" spans="2:10" ht="13.5" customHeight="1" x14ac:dyDescent="0.2">
      <c r="B61" s="32" t="s">
        <v>46</v>
      </c>
      <c r="D61" s="32" t="str">
        <f>IFERROR(INDEX(#REF!, MATCH(C61, INDEX(#REF!, MATCH(B61,#REF!, 0), 0), 0)),"")</f>
        <v/>
      </c>
      <c r="E61" s="64">
        <v>0.1</v>
      </c>
      <c r="F61" s="65" t="str">
        <f t="shared" si="1"/>
        <v/>
      </c>
      <c r="I61" s="32" t="s">
        <v>119</v>
      </c>
      <c r="J61" s="32" t="s">
        <v>72</v>
      </c>
    </row>
    <row r="62" spans="2:10" ht="13.5" customHeight="1" x14ac:dyDescent="0.2">
      <c r="F62" s="65">
        <f>SUMPRODUCT(F54:F61,E54:E61)</f>
        <v>0</v>
      </c>
      <c r="I62" s="32" t="s">
        <v>120</v>
      </c>
      <c r="J62" s="32" t="s">
        <v>73</v>
      </c>
    </row>
    <row r="63" spans="2:10" ht="13.5" customHeight="1" x14ac:dyDescent="0.2">
      <c r="D63" s="66"/>
      <c r="E63" s="67" t="s">
        <v>138</v>
      </c>
      <c r="F63" s="68" t="e">
        <f>INDEX($I$7:$I$26, MATCH(F62, $K$7:$K$26, 1))</f>
        <v>#N/A</v>
      </c>
      <c r="I63" s="32" t="s">
        <v>121</v>
      </c>
      <c r="J63" s="32" t="s">
        <v>74</v>
      </c>
    </row>
    <row r="64" spans="2:10" ht="13.5" customHeight="1" x14ac:dyDescent="0.2">
      <c r="E64" s="36" t="s">
        <v>139</v>
      </c>
      <c r="F64" s="33" t="e">
        <f>_xlfn.XLOOKUP(F63,I53:I72,J53:J72)</f>
        <v>#N/A</v>
      </c>
      <c r="I64" s="32" t="s">
        <v>122</v>
      </c>
      <c r="J64" s="32" t="s">
        <v>123</v>
      </c>
    </row>
    <row r="65" spans="2:10" ht="13.5" customHeight="1" x14ac:dyDescent="0.2">
      <c r="I65" s="32" t="s">
        <v>124</v>
      </c>
      <c r="J65" s="32" t="s">
        <v>125</v>
      </c>
    </row>
    <row r="66" spans="2:10" ht="13.5" customHeight="1" x14ac:dyDescent="0.2">
      <c r="B66" s="32" t="s">
        <v>148</v>
      </c>
      <c r="C66" s="36" t="e" cm="1">
        <f t="array" ref="C66">_xlfn.XLOOKUP(F64,O19:S19,_xlfn.XLOOKUP(C6,N20:N24,O20:S24))</f>
        <v>#N/A</v>
      </c>
      <c r="I66" s="32" t="s">
        <v>42</v>
      </c>
      <c r="J66" s="32" t="s">
        <v>126</v>
      </c>
    </row>
    <row r="67" spans="2:10" ht="13.5" customHeight="1" x14ac:dyDescent="0.2">
      <c r="B67" s="32" t="str">
        <f>B8</f>
        <v>Customer pricing</v>
      </c>
      <c r="C67" s="36">
        <v>185</v>
      </c>
      <c r="I67" s="32" t="s">
        <v>127</v>
      </c>
      <c r="J67" s="32" t="s">
        <v>59</v>
      </c>
    </row>
    <row r="68" spans="2:10" x14ac:dyDescent="0.2">
      <c r="B68" s="32" t="s">
        <v>151</v>
      </c>
      <c r="C68" s="70" t="e">
        <f>TEXT(C67-LEFT(C66,3),"#,##0_);(#,##0)") &amp;" - " &amp;TEXT(C67-RIGHT(C66,3),"#,##0_);(#,##0)")</f>
        <v>#N/A</v>
      </c>
      <c r="I68" s="32" t="s">
        <v>128</v>
      </c>
      <c r="J68" s="32" t="s">
        <v>129</v>
      </c>
    </row>
    <row r="69" spans="2:10" x14ac:dyDescent="0.2">
      <c r="I69" s="32" t="s">
        <v>130</v>
      </c>
      <c r="J69" s="32" t="s">
        <v>131</v>
      </c>
    </row>
    <row r="70" spans="2:10" x14ac:dyDescent="0.2">
      <c r="I70" s="32" t="s">
        <v>132</v>
      </c>
      <c r="J70" s="32" t="s">
        <v>133</v>
      </c>
    </row>
    <row r="71" spans="2:10" x14ac:dyDescent="0.2">
      <c r="I71" s="32" t="s">
        <v>134</v>
      </c>
      <c r="J71" s="32" t="s">
        <v>135</v>
      </c>
    </row>
    <row r="72" spans="2:10" x14ac:dyDescent="0.2">
      <c r="I72" s="32" t="s">
        <v>61</v>
      </c>
      <c r="J72" s="32" t="s">
        <v>136</v>
      </c>
    </row>
    <row r="75" spans="2:10" x14ac:dyDescent="0.2">
      <c r="B75" s="32" t="s">
        <v>162</v>
      </c>
      <c r="C75" s="36" t="s">
        <v>163</v>
      </c>
    </row>
    <row r="76" spans="2:10" x14ac:dyDescent="0.2">
      <c r="B76" s="32" t="s">
        <v>164</v>
      </c>
      <c r="C76" s="36" t="s">
        <v>165</v>
      </c>
    </row>
    <row r="77" spans="2:10" x14ac:dyDescent="0.2">
      <c r="B77" s="32" t="s">
        <v>166</v>
      </c>
      <c r="C77" s="36" t="s">
        <v>167</v>
      </c>
    </row>
    <row r="78" spans="2:10" x14ac:dyDescent="0.2">
      <c r="C78" s="36" t="s">
        <v>168</v>
      </c>
    </row>
  </sheetData>
  <dataValidations count="1">
    <dataValidation type="list" allowBlank="1" showInputMessage="1" showErrorMessage="1" sqref="C54:C61" xr:uid="{4C1ECA06-DE88-43DC-8873-5547F0AD9F57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35</vt:i4>
      </vt:variant>
    </vt:vector>
  </HeadingPairs>
  <TitlesOfParts>
    <vt:vector size="39" baseType="lpstr">
      <vt:lpstr>Business and Consumer Services</vt:lpstr>
      <vt:lpstr>Building Materials Industry</vt:lpstr>
      <vt:lpstr>Table 3 (2)</vt:lpstr>
      <vt:lpstr>Table 3</vt:lpstr>
      <vt:lpstr>Amortization_of_intangibles</vt:lpstr>
      <vt:lpstr>Assets</vt:lpstr>
      <vt:lpstr>AssetsY0</vt:lpstr>
      <vt:lpstr>Cash_and_Cash_Equivalents_per_the_Balance_Sheet</vt:lpstr>
      <vt:lpstr>Cash_Flow_From_Operations__CFO</vt:lpstr>
      <vt:lpstr>Cash_like_current_financial_assets_per_the_Balance_Sheet</vt:lpstr>
      <vt:lpstr>Common_Dividends_per_the_Consolidated_Statement_of_Cash_Flow</vt:lpstr>
      <vt:lpstr>Current_Portion_of_Long_term_Debt</vt:lpstr>
      <vt:lpstr>Customer_pricing</vt:lpstr>
      <vt:lpstr>Debt_Book_Capitalization</vt:lpstr>
      <vt:lpstr>Debt_EBITDA</vt:lpstr>
      <vt:lpstr>Depreciation</vt:lpstr>
      <vt:lpstr>EBIT</vt:lpstr>
      <vt:lpstr>EBIT_Avg._Assets</vt:lpstr>
      <vt:lpstr>EBIT_Interest</vt:lpstr>
      <vt:lpstr>Gross_interest</vt:lpstr>
      <vt:lpstr>Liability_for_Capital_Leases__if_not_already_included_in_Debt</vt:lpstr>
      <vt:lpstr>Long_term_Debt__net_of_Current_Portion</vt:lpstr>
      <vt:lpstr>Minority_Dividends_per_the_Consolidated_Statement_of_Cash_Flow</vt:lpstr>
      <vt:lpstr>Minority_interest_per_the_Balance_Sheet</vt:lpstr>
      <vt:lpstr>Model_CalculationArea</vt:lpstr>
      <vt:lpstr>Non_Current_Deferred_Income_Taxes_per_the_Balance_Sheet</vt:lpstr>
      <vt:lpstr>Operating_Margin</vt:lpstr>
      <vt:lpstr>Operating_Margin_Volatility</vt:lpstr>
      <vt:lpstr>Preferred_Dividends_per_the_Consolidated_Statement_of_Cash_Flow</vt:lpstr>
      <vt:lpstr>RCF_Net_Debt</vt:lpstr>
      <vt:lpstr>Revenue___USD_Billion</vt:lpstr>
      <vt:lpstr>Revenue__Mn</vt:lpstr>
      <vt:lpstr>Short_term_Debt</vt:lpstr>
      <vt:lpstr>Tenor</vt:lpstr>
      <vt:lpstr>Total_Equity_per_the_Balance_Sheet</vt:lpstr>
      <vt:lpstr>Y0_Net_long_term_operating_assets_and_liabilities</vt:lpstr>
      <vt:lpstr>Y0_Net_working_capital</vt:lpstr>
      <vt:lpstr>Y1_Net_Net_operating_assets_and_liabilities</vt:lpstr>
      <vt:lpstr>Y1_Net_working_capital</vt:lpstr>
    </vt:vector>
  </TitlesOfParts>
  <Company>Moody's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Llewellyn</dc:creator>
  <cp:lastModifiedBy>mike llewellyn</cp:lastModifiedBy>
  <dcterms:created xsi:type="dcterms:W3CDTF">2025-11-10T22:06:54Z</dcterms:created>
  <dcterms:modified xsi:type="dcterms:W3CDTF">2026-01-22T08:24:42Z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0x010100D1FD87AE12926B4BA8729254773C1BB1</vt:lpwstr>
  </property>
  <property fmtid="{D5CDD505-2E9C-101B-9397-08002B2CF9AE}" pid="3" name="Created">
    <vt:filetime>2020-01-24T00:00:00Z</vt:filetime>
  </property>
  <property fmtid="{D5CDD505-2E9C-101B-9397-08002B2CF9AE}" pid="4" name="Creator">
    <vt:lpwstr>Acrobat PDFMaker 19 for Word</vt:lpwstr>
  </property>
  <property fmtid="{D5CDD505-2E9C-101B-9397-08002B2CF9AE}" pid="5" name="GPT_AnalystCity1">
    <vt:lpwstr>New York</vt:lpwstr>
  </property>
  <property fmtid="{D5CDD505-2E9C-101B-9397-08002B2CF9AE}" pid="6" name="GPT_AnalystCity2">
    <vt:lpwstr>New York</vt:lpwstr>
  </property>
  <property fmtid="{D5CDD505-2E9C-101B-9397-08002B2CF9AE}" pid="7" name="GPT_AnalystContactsCount">
    <vt:lpwstr>2</vt:lpwstr>
  </property>
  <property fmtid="{D5CDD505-2E9C-101B-9397-08002B2CF9AE}" pid="8" name="GPT_AnalystID1">
    <vt:lpwstr>1704</vt:lpwstr>
  </property>
  <property fmtid="{D5CDD505-2E9C-101B-9397-08002B2CF9AE}" pid="9" name="GPT_AnalystID2">
    <vt:lpwstr>135</vt:lpwstr>
  </property>
  <property fmtid="{D5CDD505-2E9C-101B-9397-08002B2CF9AE}" pid="10" name="GPT_AnalystName1">
    <vt:lpwstr>John E. Puchalla</vt:lpwstr>
  </property>
  <property fmtid="{D5CDD505-2E9C-101B-9397-08002B2CF9AE}" pid="11" name="GPT_AnalystName2">
    <vt:lpwstr>John Diaz</vt:lpwstr>
  </property>
  <property fmtid="{D5CDD505-2E9C-101B-9397-08002B2CF9AE}" pid="12" name="GPT_AnalystTitle1">
    <vt:lpwstr>VP-Sr Credit Officer</vt:lpwstr>
  </property>
  <property fmtid="{D5CDD505-2E9C-101B-9397-08002B2CF9AE}" pid="13" name="GPT_AnalystTitle2">
    <vt:lpwstr>MD-Corporate Finance</vt:lpwstr>
  </property>
  <property fmtid="{D5CDD505-2E9C-101B-9397-08002B2CF9AE}" pid="14" name="GPT_AnalystsPhoneNumbers">
    <vt:lpwstr>1</vt:lpwstr>
  </property>
  <property fmtid="{D5CDD505-2E9C-101B-9397-08002B2CF9AE}" pid="15" name="GPT_AuthorName1">
    <vt:lpwstr>John E. Puchalla</vt:lpwstr>
  </property>
  <property fmtid="{D5CDD505-2E9C-101B-9397-08002B2CF9AE}" pid="16" name="GPT_AuthorsCount">
    <vt:lpwstr>1</vt:lpwstr>
  </property>
  <property fmtid="{D5CDD505-2E9C-101B-9397-08002B2CF9AE}" pid="17" name="GPT_BusinessLine">
    <vt:lpwstr>Corporates</vt:lpwstr>
  </property>
  <property fmtid="{D5CDD505-2E9C-101B-9397-08002B2CF9AE}" pid="18" name="GPT_CreateDate">
    <vt:lpwstr>D:20111211</vt:lpwstr>
  </property>
  <property fmtid="{D5CDD505-2E9C-101B-9397-08002B2CF9AE}" pid="19" name="GPT_CreateUser">
    <vt:lpwstr>warburts</vt:lpwstr>
  </property>
  <property fmtid="{D5CDD505-2E9C-101B-9397-08002B2CF9AE}" pid="20" name="GPT_DocumentID">
    <vt:lpwstr>12699</vt:lpwstr>
  </property>
  <property fmtid="{D5CDD505-2E9C-101B-9397-08002B2CF9AE}" pid="21" name="GPT_DocumentType">
    <vt:lpwstr>Rating Methodology</vt:lpwstr>
  </property>
  <property fmtid="{D5CDD505-2E9C-101B-9397-08002B2CF9AE}" pid="22" name="GPT_FileName">
    <vt:lpwstr>138078.doc</vt:lpwstr>
  </property>
  <property fmtid="{D5CDD505-2E9C-101B-9397-08002B2CF9AE}" pid="23" name="GPT_NCA_BusinessLineDetails">
    <vt:lpwstr>Corporates</vt:lpwstr>
  </property>
  <property fmtid="{D5CDD505-2E9C-101B-9397-08002B2CF9AE}" pid="24" name="GPT_NCA_BusinessLineSubtitle">
    <vt:lpwstr/>
  </property>
  <property fmtid="{D5CDD505-2E9C-101B-9397-08002B2CF9AE}" pid="25" name="GPT_NCA_DocumentSubtitle">
    <vt:lpwstr/>
  </property>
  <property fmtid="{D5CDD505-2E9C-101B-9397-08002B2CF9AE}" pid="26" name="GPT_NCA_DocumentTitle">
    <vt:lpwstr>Global Publishing Industry</vt:lpwstr>
  </property>
  <property fmtid="{D5CDD505-2E9C-101B-9397-08002B2CF9AE}" pid="27" name="GPT_SaveDate">
    <vt:lpwstr>D:20111211</vt:lpwstr>
  </property>
  <property fmtid="{D5CDD505-2E9C-101B-9397-08002B2CF9AE}" pid="28" name="GPT_SaveUser">
    <vt:lpwstr>warburts</vt:lpwstr>
  </property>
  <property fmtid="{D5CDD505-2E9C-101B-9397-08002B2CF9AE}" pid="29" name="GPT_TemplateFile">
    <vt:lpwstr>C:\MoodysApps\GPT\GPT_CreditAnalysis_Template.dotm</vt:lpwstr>
  </property>
  <property fmtid="{D5CDD505-2E9C-101B-9397-08002B2CF9AE}" pid="30" name="LastSaved">
    <vt:filetime>2025-11-10T00:00:00Z</vt:filetime>
  </property>
  <property fmtid="{D5CDD505-2E9C-101B-9397-08002B2CF9AE}" pid="31" name="Producer">
    <vt:lpwstr>Adobe PDF Library 19.8.103</vt:lpwstr>
  </property>
  <property fmtid="{D5CDD505-2E9C-101B-9397-08002B2CF9AE}" pid="32" name="SourceModified">
    <vt:lpwstr>D:20200124180534</vt:lpwstr>
  </property>
</Properties>
</file>